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WorkedExample" sheetId="2" state="visible" r:id="rId4"/>
    <sheet name="YourTemplate" sheetId="3" state="visible" r:id="rId5"/>
    <sheet name="Source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<sst xmlns="http://schemas.openxmlformats.org/spreadsheetml/2006/main" count="154" uniqueCount="84">
  <si>
    <t xml:space="preserve">Descriptive Statistics Workbook for Secondary-Data Nutrition Projects</t>
  </si>
  <si>
    <t xml:space="preserve">Model exemplar for learning. Not for submission.</t>
  </si>
  <si>
    <t xml:space="preserve">What this workbook does</t>
  </si>
  <si>
    <t xml:space="preserve">1. WorkedExample shows how to analyse trends in published child nutrition indicators using simple descriptive statistics.</t>
  </si>
  <si>
    <t xml:space="preserve">2. YourTemplate is blank. Type your own indicators and survey years into the yellow cells. All other cells calculate automatically.</t>
  </si>
  <si>
    <t xml:space="preserve">3. SourceLog is where you record exactly where each number came from.</t>
  </si>
  <si>
    <t xml:space="preserve">Colour code</t>
  </si>
  <si>
    <t xml:space="preserve">Blue text = a number typed in from a source. Black text = a formula. Yellow fill = a cell for you to fill in.</t>
  </si>
  <si>
    <t xml:space="preserve">Important rules</t>
  </si>
  <si>
    <t xml:space="preserve">Every number must come from a real, published source that you have read. Record it in SourceLog.</t>
  </si>
  <si>
    <t xml:space="preserve">Check each value against the original report before you use it. Figures in news articles and fact sheets can differ slightly from the main report.</t>
  </si>
  <si>
    <t xml:space="preserve">Cite the original report (for example the KDHS main report) in your own work, not a news article.</t>
  </si>
  <si>
    <t xml:space="preserve">Never type invented numbers. pp means percentage points.</t>
  </si>
  <si>
    <t xml:space="preserve">Years: where a survey ran across two years (for example 2008/09), type the first year and say so in SourceLog.</t>
  </si>
  <si>
    <t xml:space="preserve">Delete the example row in YourTemplate and replace it with your own data.</t>
  </si>
  <si>
    <t xml:space="preserve">Worked example: trends in selected nutrition indicators for children under five years, Kenya, from published demographic and health surveys</t>
  </si>
  <si>
    <t xml:space="preserve">Values were taken from the sources listed in SourceLog (accessed 25 October 2026). Verify against the original KDHS reports before using in your own work.</t>
  </si>
  <si>
    <t xml:space="preserve">Table 1. Children under five who are stunted (%)</t>
  </si>
  <si>
    <t xml:space="preserve">Survey year</t>
  </si>
  <si>
    <t xml:space="preserve">Value (%)</t>
  </si>
  <si>
    <t xml:space="preserve">Change from previous (pp)</t>
  </si>
  <si>
    <t xml:space="preserve">% change from previous</t>
  </si>
  <si>
    <t xml:space="preserve">Years between</t>
  </si>
  <si>
    <t xml:space="preserve">Annual change (pp/year)</t>
  </si>
  <si>
    <t xml:space="preserve">Summary statistics</t>
  </si>
  <si>
    <t xml:space="preserve">Number of surveys (n)</t>
  </si>
  <si>
    <t xml:space="preserve">Mean</t>
  </si>
  <si>
    <t xml:space="preserve">Median</t>
  </si>
  <si>
    <t xml:space="preserve">Minimum</t>
  </si>
  <si>
    <t xml:space="preserve">Maximum</t>
  </si>
  <si>
    <t xml:space="preserve">Range (max - min)</t>
  </si>
  <si>
    <t xml:space="preserve">Standard deviation (sample)</t>
  </si>
  <si>
    <t xml:space="preserve">Overall change, first to last (pp)</t>
  </si>
  <si>
    <t xml:space="preserve">Overall % change, first to last</t>
  </si>
  <si>
    <t xml:space="preserve">Average annual change (pp/year)</t>
  </si>
  <si>
    <t xml:space="preserve">Table 2. Children under five who are overweight (%)</t>
  </si>
  <si>
    <t xml:space="preserve">Table 3. Children under five who are severely stunted (%)</t>
  </si>
  <si>
    <t xml:space="preserve">How to read the results</t>
  </si>
  <si>
    <t xml:space="preserve">Mean and median describe the typical level across surveys. Range and standard deviation describe how much the value varied.</t>
  </si>
  <si>
    <t xml:space="preserve">Change from previous shows how many percentage points the indicator moved between surveys. The % change shows the size of that move relative to the earlier value.</t>
  </si>
  <si>
    <t xml:space="preserve">Annual change divides the change by the years between surveys, so surveys with different gaps can be compared fairly.</t>
  </si>
  <si>
    <t xml:space="preserve">Always say what the pattern means for the problem you are studying, and state the limits (for example, different survey gaps, news-reported figures).</t>
  </si>
  <si>
    <t xml:space="preserve">Your analysis: type your own indicator, years and values in the yellow cells</t>
  </si>
  <si>
    <t xml:space="preserve">Indicator name:</t>
  </si>
  <si>
    <t xml:space="preserve">EXAMPLE: Children under five who are stunted</t>
  </si>
  <si>
    <t xml:space="preserve">Source (short):</t>
  </si>
  <si>
    <t xml:space="preserve">EXAMPLE: KDHS reports. Record full details in SourceLog.</t>
  </si>
  <si>
    <t xml:space="preserve">Data table (the first row is an EXAMPLE. Overwrite it with your own data.)</t>
  </si>
  <si>
    <t xml:space="preserve">Source log: record where every number came from</t>
  </si>
  <si>
    <t xml:space="preserve">Indicator</t>
  </si>
  <si>
    <t xml:space="preserve">Value</t>
  </si>
  <si>
    <t xml:space="preserve">Year</t>
  </si>
  <si>
    <t xml:space="preserve">Source document and publisher</t>
  </si>
  <si>
    <t xml:space="preserve">Where found (table or page)</t>
  </si>
  <si>
    <t xml:space="preserve">URL</t>
  </si>
  <si>
    <t xml:space="preserve">Date accessed</t>
  </si>
  <si>
    <t xml:space="preserve">Checked against original report? (Y/N)</t>
  </si>
  <si>
    <t xml:space="preserve">Stunting, children under 5 (%)</t>
  </si>
  <si>
    <t xml:space="preserve">2008/09</t>
  </si>
  <si>
    <t xml:space="preserve">KNBS summary of the 2022 Kenya Demographic and Health Survey</t>
  </si>
  <si>
    <t xml:space="preserve">Summary text on KNBS KDHS 2022 page</t>
  </si>
  <si>
    <t xml:space="preserve">https://www.knbs.or.ke/kenya-demographic-and-health-survey-kdhs-2022/</t>
  </si>
  <si>
    <t xml:space="preserve">25-Oct-2026</t>
  </si>
  <si>
    <t xml:space="preserve">N</t>
  </si>
  <si>
    <t xml:space="preserve">2022</t>
  </si>
  <si>
    <t xml:space="preserve">2014</t>
  </si>
  <si>
    <t xml:space="preserve">Nutrition International news release on the KDHS 2022 Key Indicators Report</t>
  </si>
  <si>
    <t xml:space="preserve">News release, 18 January 2023</t>
  </si>
  <si>
    <t xml:space="preserve">https://nutritionintl.org/?p=21949</t>
  </si>
  <si>
    <t xml:space="preserve">Overweight, children under 5 (%)</t>
  </si>
  <si>
    <t xml:space="preserve">6.3, 5.5, 4.7, 4.1, 3.2</t>
  </si>
  <si>
    <t xml:space="preserve">1998, 2003, 2008/09, 2014, 2022</t>
  </si>
  <si>
    <t xml:space="preserve">Capital FM news report on the KDHS 2022 main report launch</t>
  </si>
  <si>
    <t xml:space="preserve">Article text, 4 July</t>
  </si>
  <si>
    <t xml:space="preserve">https://www.capitalfm.co.ke/news/?p=727838</t>
  </si>
  <si>
    <t xml:space="preserve">Severe stunting, children under 5 (%)</t>
  </si>
  <si>
    <t xml:space="preserve">8.1 and 4.2</t>
  </si>
  <si>
    <t xml:space="preserve">2014 and 2022</t>
  </si>
  <si>
    <t xml:space="preserve">Key indicators (stunting, wasting, underweight)</t>
  </si>
  <si>
    <t xml:space="preserve">See report</t>
  </si>
  <si>
    <t xml:space="preserve">Kenya National Bureau of Statistics and ICF. 2022 KDHS Key Indicators Report</t>
  </si>
  <si>
    <t xml:space="preserve">Key indicators table (original report to check against)</t>
  </si>
  <si>
    <t xml:space="preserve">https://www.dhsprogram.com/pubs/pdf/DM186/DM186.pdf</t>
  </si>
  <si>
    <t xml:space="preserve">Several values above come from news or organisation summaries. Before using them, open the original KDHS report, find the table, and confirm the figure. Then change the last column to Y.</t>
  </si>
</sst>
</file>

<file path=xl/styles.xml><?xml version="1.0" encoding="utf-8"?>
<styleSheet xmlns="http://schemas.openxmlformats.org/spreadsheetml/2006/main">
  <numFmts count="7">
    <numFmt numFmtId="164" formatCode="General"/>
    <numFmt numFmtId="165" formatCode="0"/>
    <numFmt numFmtId="166" formatCode="0.0"/>
    <numFmt numFmtId="167" formatCode="0.0;\-0.0;0.0"/>
    <numFmt numFmtId="168" formatCode="0.0%"/>
    <numFmt numFmtId="169" formatCode="0.00;\-0.00;0.00"/>
    <numFmt numFmtId="170" formatCode="0.0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i val="true"/>
      <sz val="9"/>
      <color rgb="FF555555"/>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E7E6E6"/>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7EBB"/>
      <rgbColor rgb="FF999999"/>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Child overweight, Kenya (%)</a:t>
            </a:r>
          </a:p>
        </c:rich>
      </c:tx>
      <c:overlay val="0"/>
      <c:spPr>
        <a:noFill/>
        <a:ln w="0">
          <a:noFill/>
        </a:ln>
      </c:spPr>
    </c:title>
    <c:autoTitleDeleted val="0"/>
    <c:plotArea>
      <c:lineChart>
        <c:grouping val="standard"/>
        <c:varyColors val="0"/>
        <c:ser>
          <c:idx val="0"/>
          <c:order val="0"/>
          <c:tx>
            <c:strRef>
              <c:f>WorkedExample!B23</c:f>
              <c:strCache>
                <c:ptCount val="1"/>
                <c:pt idx="0">
                  <c:v>Value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WorkedExample!$A$24:$A$28</c:f>
              <c:strCache>
                <c:ptCount val="5"/>
                <c:pt idx="0">
                  <c:v>1998</c:v>
                </c:pt>
                <c:pt idx="1">
                  <c:v>2003</c:v>
                </c:pt>
                <c:pt idx="2">
                  <c:v>2008</c:v>
                </c:pt>
                <c:pt idx="3">
                  <c:v>2014</c:v>
                </c:pt>
                <c:pt idx="4">
                  <c:v>2022</c:v>
                </c:pt>
              </c:strCache>
            </c:strRef>
          </c:cat>
          <c:val>
            <c:numRef>
              <c:f>WorkedExample!$B$24:$B$28</c:f>
              <c:numCache>
                <c:formatCode>0.0</c:formatCode>
                <c:ptCount val="5"/>
                <c:pt idx="0">
                  <c:v>6.3</c:v>
                </c:pt>
                <c:pt idx="1">
                  <c:v>5.5</c:v>
                </c:pt>
                <c:pt idx="2">
                  <c:v>4.7</c:v>
                </c:pt>
                <c:pt idx="3">
                  <c:v>4.1</c:v>
                </c:pt>
                <c:pt idx="4">
                  <c:v>3.2</c:v>
                </c:pt>
              </c:numCache>
            </c:numRef>
          </c:val>
          <c:smooth val="1"/>
        </c:ser>
        <c:hiLowLines>
          <c:spPr>
            <a:ln w="0">
              <a:noFill/>
            </a:ln>
          </c:spPr>
        </c:hiLowLines>
        <c:marker val="0"/>
        <c:axId val="841776"/>
        <c:axId val="8013541"/>
      </c:lineChart>
      <c:catAx>
        <c:axId val="84177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Survey 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13541"/>
        <c:crosses val="autoZero"/>
        <c:auto val="1"/>
        <c:lblAlgn val="ctr"/>
        <c:lblOffset val="100"/>
        <c:noMultiLvlLbl val="0"/>
      </c:catAx>
      <c:valAx>
        <c:axId val="80135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children under five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17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Child stunting, Kenya (%)</a:t>
            </a:r>
          </a:p>
        </c:rich>
      </c:tx>
      <c:overlay val="0"/>
      <c:spPr>
        <a:noFill/>
        <a:ln w="0">
          <a:noFill/>
        </a:ln>
      </c:spPr>
    </c:title>
    <c:autoTitleDeleted val="0"/>
    <c:plotArea>
      <c:lineChart>
        <c:grouping val="standard"/>
        <c:varyColors val="0"/>
        <c:ser>
          <c:idx val="0"/>
          <c:order val="0"/>
          <c:tx>
            <c:strRef>
              <c:f>WorkedExample!B5</c:f>
              <c:strCache>
                <c:ptCount val="1"/>
                <c:pt idx="0">
                  <c:v>Value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WorkedExample!$A$6:$A$8</c:f>
              <c:strCache>
                <c:ptCount val="3"/>
                <c:pt idx="0">
                  <c:v>2008</c:v>
                </c:pt>
                <c:pt idx="1">
                  <c:v>2014</c:v>
                </c:pt>
                <c:pt idx="2">
                  <c:v>2022</c:v>
                </c:pt>
              </c:strCache>
            </c:strRef>
          </c:cat>
          <c:val>
            <c:numRef>
              <c:f>WorkedExample!$B$6:$B$8</c:f>
              <c:numCache>
                <c:formatCode>0.0</c:formatCode>
                <c:ptCount val="3"/>
                <c:pt idx="0">
                  <c:v>35</c:v>
                </c:pt>
                <c:pt idx="1">
                  <c:v>26</c:v>
                </c:pt>
                <c:pt idx="2">
                  <c:v>18</c:v>
                </c:pt>
              </c:numCache>
            </c:numRef>
          </c:val>
          <c:smooth val="1"/>
        </c:ser>
        <c:hiLowLines>
          <c:spPr>
            <a:ln w="0">
              <a:noFill/>
            </a:ln>
          </c:spPr>
        </c:hiLowLines>
        <c:marker val="0"/>
        <c:axId val="55352346"/>
        <c:axId val="34973609"/>
      </c:lineChart>
      <c:catAx>
        <c:axId val="5535234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Survey 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973609"/>
        <c:crosses val="autoZero"/>
        <c:auto val="1"/>
        <c:lblAlgn val="ctr"/>
        <c:lblOffset val="100"/>
        <c:noMultiLvlLbl val="0"/>
      </c:catAx>
      <c:valAx>
        <c:axId val="349736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children under five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3523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176040</xdr:rowOff>
    </xdr:from>
    <xdr:to>
      <xdr:col>15</xdr:col>
      <xdr:colOff>147600</xdr:colOff>
      <xdr:row>16</xdr:row>
      <xdr:rowOff>179280</xdr:rowOff>
    </xdr:to>
    <xdr:graphicFrame>
      <xdr:nvGraphicFramePr>
        <xdr:cNvPr id="0" name="Chart 1"/>
        <xdr:cNvGraphicFramePr/>
      </xdr:nvGraphicFramePr>
      <xdr:xfrm>
        <a:off x="10338480" y="5716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176040</xdr:rowOff>
    </xdr:from>
    <xdr:to>
      <xdr:col>15</xdr:col>
      <xdr:colOff>147600</xdr:colOff>
      <xdr:row>35</xdr:row>
      <xdr:rowOff>85680</xdr:rowOff>
    </xdr:to>
    <xdr:graphicFrame>
      <xdr:nvGraphicFramePr>
        <xdr:cNvPr id="1" name="Chart 2"/>
        <xdr:cNvGraphicFramePr/>
      </xdr:nvGraphicFramePr>
      <xdr:xfrm>
        <a:off x="10338480" y="421020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2"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row>
    <row r="9" customFormat="false" ht="15" hidden="false" customHeight="false" outlineLevel="0" collapsed="false">
      <c r="A9" s="2" t="s">
        <v>6</v>
      </c>
    </row>
    <row r="10" customFormat="false" ht="15" hidden="false" customHeight="false" outlineLevel="0" collapsed="false">
      <c r="A10" s="3" t="s">
        <v>7</v>
      </c>
    </row>
    <row r="11" customFormat="false" ht="15" hidden="false" customHeight="false" outlineLevel="0" collapsed="false">
      <c r="A11" s="3"/>
    </row>
    <row r="12" customFormat="false" ht="15" hidden="false" customHeight="false" outlineLevel="0" collapsed="false">
      <c r="A12" s="2"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6" min="2" style="0" width="20"/>
  </cols>
  <sheetData>
    <row r="1" customFormat="false" ht="16.15" hidden="false" customHeight="false" outlineLevel="0" collapsed="false">
      <c r="A1" s="1" t="s">
        <v>15</v>
      </c>
    </row>
    <row r="2" customFormat="false" ht="15" hidden="false" customHeight="false" outlineLevel="0" collapsed="false">
      <c r="A2" s="4" t="s">
        <v>16</v>
      </c>
    </row>
    <row r="4" customFormat="false" ht="15" hidden="false" customHeight="false" outlineLevel="0" collapsed="false">
      <c r="A4" s="2" t="s">
        <v>17</v>
      </c>
    </row>
    <row r="5" customFormat="false" ht="31.5" hidden="false" customHeight="true" outlineLevel="0" collapsed="false">
      <c r="A5" s="5" t="s">
        <v>18</v>
      </c>
      <c r="B5" s="5" t="s">
        <v>19</v>
      </c>
      <c r="C5" s="5" t="s">
        <v>20</v>
      </c>
      <c r="D5" s="5" t="s">
        <v>21</v>
      </c>
      <c r="E5" s="5" t="s">
        <v>22</v>
      </c>
      <c r="F5" s="5" t="s">
        <v>23</v>
      </c>
    </row>
    <row r="6" customFormat="false" ht="15" hidden="false" customHeight="false" outlineLevel="0" collapsed="false">
      <c r="A6" s="6" t="n">
        <v>2008</v>
      </c>
      <c r="B6" s="7" t="n">
        <v>35</v>
      </c>
      <c r="C6" s="8"/>
      <c r="D6" s="9"/>
      <c r="E6" s="10"/>
      <c r="F6" s="11"/>
    </row>
    <row r="7" customFormat="false" ht="15" hidden="false" customHeight="false" outlineLevel="0" collapsed="false">
      <c r="A7" s="6" t="n">
        <v>2014</v>
      </c>
      <c r="B7" s="7" t="n">
        <v>26</v>
      </c>
      <c r="C7" s="8" t="n">
        <f aca="false">IF(OR(B7="",B6=""),"",B7-B6)</f>
        <v>-9</v>
      </c>
      <c r="D7" s="9" t="n">
        <f aca="false">IF(OR(B7="",B6="",B6=0),"",(B7-B6)/B6)</f>
        <v>-0.257142857142857</v>
      </c>
      <c r="E7" s="10" t="n">
        <f aca="false">IF(OR(A7="",A6=""),"",A7-A6)</f>
        <v>6</v>
      </c>
      <c r="F7" s="11" t="n">
        <f aca="false">IF(OR(C7="",E7="",E7=0),"",C7/E7)</f>
        <v>-1.5</v>
      </c>
    </row>
    <row r="8" customFormat="false" ht="15" hidden="false" customHeight="false" outlineLevel="0" collapsed="false">
      <c r="A8" s="6" t="n">
        <v>2022</v>
      </c>
      <c r="B8" s="7" t="n">
        <v>18</v>
      </c>
      <c r="C8" s="8" t="n">
        <f aca="false">IF(OR(B8="",B7=""),"",B8-B7)</f>
        <v>-8</v>
      </c>
      <c r="D8" s="9" t="n">
        <f aca="false">IF(OR(B8="",B7="",B7=0),"",(B8-B7)/B7)</f>
        <v>-0.307692307692308</v>
      </c>
      <c r="E8" s="10" t="n">
        <f aca="false">IF(OR(A8="",A7=""),"",A8-A7)</f>
        <v>8</v>
      </c>
      <c r="F8" s="11" t="n">
        <f aca="false">IF(OR(C8="",E8="",E8=0),"",C8/E8)</f>
        <v>-1</v>
      </c>
    </row>
    <row r="9" customFormat="false" ht="15" hidden="false" customHeight="false" outlineLevel="0" collapsed="false">
      <c r="A9" s="2" t="s">
        <v>24</v>
      </c>
    </row>
    <row r="10" customFormat="false" ht="15" hidden="false" customHeight="false" outlineLevel="0" collapsed="false">
      <c r="A10" s="12" t="s">
        <v>25</v>
      </c>
      <c r="B10" s="10" t="n">
        <f aca="false">COUNT(B6:B8)</f>
        <v>3</v>
      </c>
    </row>
    <row r="11" customFormat="false" ht="15" hidden="false" customHeight="false" outlineLevel="0" collapsed="false">
      <c r="A11" s="12" t="s">
        <v>26</v>
      </c>
      <c r="B11" s="13" t="n">
        <f aca="false">IFERROR(AVERAGE(B6:B8),"")</f>
        <v>26.3333333333333</v>
      </c>
    </row>
    <row r="12" customFormat="false" ht="15" hidden="false" customHeight="false" outlineLevel="0" collapsed="false">
      <c r="A12" s="12" t="s">
        <v>27</v>
      </c>
      <c r="B12" s="13" t="n">
        <f aca="false">IFERROR(MEDIAN(B6:B8),"")</f>
        <v>26</v>
      </c>
    </row>
    <row r="13" customFormat="false" ht="15" hidden="false" customHeight="false" outlineLevel="0" collapsed="false">
      <c r="A13" s="12" t="s">
        <v>28</v>
      </c>
      <c r="B13" s="13" t="n">
        <f aca="false">IFERROR(MIN(B6:B8),"")</f>
        <v>18</v>
      </c>
    </row>
    <row r="14" customFormat="false" ht="15" hidden="false" customHeight="false" outlineLevel="0" collapsed="false">
      <c r="A14" s="12" t="s">
        <v>29</v>
      </c>
      <c r="B14" s="13" t="n">
        <f aca="false">IFERROR(MAX(B6:B8),"")</f>
        <v>35</v>
      </c>
    </row>
    <row r="15" customFormat="false" ht="15" hidden="false" customHeight="false" outlineLevel="0" collapsed="false">
      <c r="A15" s="12" t="s">
        <v>30</v>
      </c>
      <c r="B15" s="13" t="n">
        <f aca="false">IFERROR(MAX(B6:B8)-MIN(B6:B8),"")</f>
        <v>17</v>
      </c>
    </row>
    <row r="16" customFormat="false" ht="15" hidden="false" customHeight="false" outlineLevel="0" collapsed="false">
      <c r="A16" s="12" t="s">
        <v>31</v>
      </c>
      <c r="B16" s="14" t="n">
        <f aca="false">IF(COUNT(B6:B8)&gt;1,STDEV(B6:B8),"")</f>
        <v>8.50490054811538</v>
      </c>
    </row>
    <row r="17" customFormat="false" ht="15" hidden="false" customHeight="false" outlineLevel="0" collapsed="false">
      <c r="A17" s="12" t="s">
        <v>32</v>
      </c>
      <c r="B17" s="8" t="n">
        <f aca="false">IF(COUNT(B6:B8)&gt;1,INDEX(B6:B8,COUNT(B6:B8))-INDEX(B6:B8,1),"")</f>
        <v>-17</v>
      </c>
    </row>
    <row r="18" customFormat="false" ht="15" hidden="false" customHeight="false" outlineLevel="0" collapsed="false">
      <c r="A18" s="12" t="s">
        <v>33</v>
      </c>
      <c r="B18" s="9" t="n">
        <f aca="false">IF(COUNT(B6:B8)&gt;1,IF(INDEX(B6:B8,1)=0,"",(INDEX(B6:B8,COUNT(B6:B8))-INDEX(B6:B8,1))/INDEX(B6:B8,1)),"")</f>
        <v>-0.485714285714286</v>
      </c>
    </row>
    <row r="19" customFormat="false" ht="15" hidden="false" customHeight="false" outlineLevel="0" collapsed="false">
      <c r="A19" s="12" t="s">
        <v>34</v>
      </c>
      <c r="B19" s="11" t="n">
        <f aca="false">IF(COUNT(B6:B8)&gt;1,(INDEX(B6:B8,COUNT(B6:B8))-INDEX(B6:B8,1))/(INDEX(A6:A8,COUNT(A6:A8))-INDEX(A6:A8,1)),"")</f>
        <v>-1.21428571428571</v>
      </c>
    </row>
    <row r="22" customFormat="false" ht="15" hidden="false" customHeight="false" outlineLevel="0" collapsed="false">
      <c r="A22" s="2" t="s">
        <v>35</v>
      </c>
    </row>
    <row r="23" customFormat="false" ht="23.85" hidden="false" customHeight="false" outlineLevel="0" collapsed="false">
      <c r="A23" s="5" t="s">
        <v>18</v>
      </c>
      <c r="B23" s="5" t="s">
        <v>19</v>
      </c>
      <c r="C23" s="5" t="s">
        <v>20</v>
      </c>
      <c r="D23" s="5" t="s">
        <v>21</v>
      </c>
      <c r="E23" s="5" t="s">
        <v>22</v>
      </c>
      <c r="F23" s="5" t="s">
        <v>23</v>
      </c>
    </row>
    <row r="24" customFormat="false" ht="15" hidden="false" customHeight="false" outlineLevel="0" collapsed="false">
      <c r="A24" s="6" t="n">
        <v>1998</v>
      </c>
      <c r="B24" s="7" t="n">
        <v>6.3</v>
      </c>
      <c r="C24" s="8"/>
      <c r="D24" s="9"/>
      <c r="E24" s="10"/>
      <c r="F24" s="11"/>
    </row>
    <row r="25" customFormat="false" ht="15" hidden="false" customHeight="false" outlineLevel="0" collapsed="false">
      <c r="A25" s="6" t="n">
        <v>2003</v>
      </c>
      <c r="B25" s="7" t="n">
        <v>5.5</v>
      </c>
      <c r="C25" s="8" t="n">
        <f aca="false">IF(OR(B25="",B24=""),"",B25-B24)</f>
        <v>-0.8</v>
      </c>
      <c r="D25" s="9" t="n">
        <f aca="false">IF(OR(B25="",B24="",B24=0),"",(B25-B24)/B24)</f>
        <v>-0.126984126984127</v>
      </c>
      <c r="E25" s="10" t="n">
        <f aca="false">IF(OR(A25="",A24=""),"",A25-A24)</f>
        <v>5</v>
      </c>
      <c r="F25" s="11" t="n">
        <f aca="false">IF(OR(C25="",E25="",E25=0),"",C25/E25)</f>
        <v>-0.16</v>
      </c>
    </row>
    <row r="26" customFormat="false" ht="15" hidden="false" customHeight="false" outlineLevel="0" collapsed="false">
      <c r="A26" s="6" t="n">
        <v>2008</v>
      </c>
      <c r="B26" s="7" t="n">
        <v>4.7</v>
      </c>
      <c r="C26" s="8" t="n">
        <f aca="false">IF(OR(B26="",B25=""),"",B26-B25)</f>
        <v>-0.8</v>
      </c>
      <c r="D26" s="9" t="n">
        <f aca="false">IF(OR(B26="",B25="",B25=0),"",(B26-B25)/B25)</f>
        <v>-0.145454545454545</v>
      </c>
      <c r="E26" s="10" t="n">
        <f aca="false">IF(OR(A26="",A25=""),"",A26-A25)</f>
        <v>5</v>
      </c>
      <c r="F26" s="11" t="n">
        <f aca="false">IF(OR(C26="",E26="",E26=0),"",C26/E26)</f>
        <v>-0.16</v>
      </c>
    </row>
    <row r="27" customFormat="false" ht="15" hidden="false" customHeight="false" outlineLevel="0" collapsed="false">
      <c r="A27" s="6" t="n">
        <v>2014</v>
      </c>
      <c r="B27" s="7" t="n">
        <v>4.1</v>
      </c>
      <c r="C27" s="8" t="n">
        <f aca="false">IF(OR(B27="",B26=""),"",B27-B26)</f>
        <v>-0.600000000000001</v>
      </c>
      <c r="D27" s="9" t="n">
        <f aca="false">IF(OR(B27="",B26="",B26=0),"",(B27-B26)/B26)</f>
        <v>-0.127659574468085</v>
      </c>
      <c r="E27" s="10" t="n">
        <f aca="false">IF(OR(A27="",A26=""),"",A27-A26)</f>
        <v>6</v>
      </c>
      <c r="F27" s="11" t="n">
        <f aca="false">IF(OR(C27="",E27="",E27=0),"",C27/E27)</f>
        <v>-0.1</v>
      </c>
    </row>
    <row r="28" customFormat="false" ht="15" hidden="false" customHeight="false" outlineLevel="0" collapsed="false">
      <c r="A28" s="6" t="n">
        <v>2022</v>
      </c>
      <c r="B28" s="7" t="n">
        <v>3.2</v>
      </c>
      <c r="C28" s="8" t="n">
        <f aca="false">IF(OR(B28="",B27=""),"",B28-B27)</f>
        <v>-0.9</v>
      </c>
      <c r="D28" s="9" t="n">
        <f aca="false">IF(OR(B28="",B27="",B27=0),"",(B28-B27)/B27)</f>
        <v>-0.219512195121951</v>
      </c>
      <c r="E28" s="10" t="n">
        <f aca="false">IF(OR(A28="",A27=""),"",A28-A27)</f>
        <v>8</v>
      </c>
      <c r="F28" s="11" t="n">
        <f aca="false">IF(OR(C28="",E28="",E28=0),"",C28/E28)</f>
        <v>-0.1125</v>
      </c>
    </row>
    <row r="29" customFormat="false" ht="15" hidden="false" customHeight="false" outlineLevel="0" collapsed="false">
      <c r="A29" s="2" t="s">
        <v>24</v>
      </c>
    </row>
    <row r="30" customFormat="false" ht="15" hidden="false" customHeight="false" outlineLevel="0" collapsed="false">
      <c r="A30" s="12" t="s">
        <v>25</v>
      </c>
      <c r="B30" s="10" t="n">
        <f aca="false">COUNT(B24:B28)</f>
        <v>5</v>
      </c>
    </row>
    <row r="31" customFormat="false" ht="15" hidden="false" customHeight="false" outlineLevel="0" collapsed="false">
      <c r="A31" s="12" t="s">
        <v>26</v>
      </c>
      <c r="B31" s="13" t="n">
        <f aca="false">IFERROR(AVERAGE(B24:B28),"")</f>
        <v>4.76</v>
      </c>
    </row>
    <row r="32" customFormat="false" ht="15" hidden="false" customHeight="false" outlineLevel="0" collapsed="false">
      <c r="A32" s="12" t="s">
        <v>27</v>
      </c>
      <c r="B32" s="13" t="n">
        <f aca="false">IFERROR(MEDIAN(B24:B28),"")</f>
        <v>4.7</v>
      </c>
    </row>
    <row r="33" customFormat="false" ht="15" hidden="false" customHeight="false" outlineLevel="0" collapsed="false">
      <c r="A33" s="12" t="s">
        <v>28</v>
      </c>
      <c r="B33" s="13" t="n">
        <f aca="false">IFERROR(MIN(B24:B28),"")</f>
        <v>3.2</v>
      </c>
    </row>
    <row r="34" customFormat="false" ht="15" hidden="false" customHeight="false" outlineLevel="0" collapsed="false">
      <c r="A34" s="12" t="s">
        <v>29</v>
      </c>
      <c r="B34" s="13" t="n">
        <f aca="false">IFERROR(MAX(B24:B28),"")</f>
        <v>6.3</v>
      </c>
    </row>
    <row r="35" customFormat="false" ht="15" hidden="false" customHeight="false" outlineLevel="0" collapsed="false">
      <c r="A35" s="12" t="s">
        <v>30</v>
      </c>
      <c r="B35" s="13" t="n">
        <f aca="false">IFERROR(MAX(B24:B28)-MIN(B24:B28),"")</f>
        <v>3.1</v>
      </c>
    </row>
    <row r="36" customFormat="false" ht="15" hidden="false" customHeight="false" outlineLevel="0" collapsed="false">
      <c r="A36" s="12" t="s">
        <v>31</v>
      </c>
      <c r="B36" s="14" t="n">
        <f aca="false">IF(COUNT(B24:B28)&gt;1,STDEV(B24:B28),"")</f>
        <v>1.20332871651931</v>
      </c>
    </row>
    <row r="37" customFormat="false" ht="15" hidden="false" customHeight="false" outlineLevel="0" collapsed="false">
      <c r="A37" s="12" t="s">
        <v>32</v>
      </c>
      <c r="B37" s="8" t="n">
        <f aca="false">IF(COUNT(B24:B28)&gt;1,INDEX(B24:B28,COUNT(B24:B28))-INDEX(B24:B28,1),"")</f>
        <v>-3.1</v>
      </c>
    </row>
    <row r="38" customFormat="false" ht="15" hidden="false" customHeight="false" outlineLevel="0" collapsed="false">
      <c r="A38" s="12" t="s">
        <v>33</v>
      </c>
      <c r="B38" s="9" t="n">
        <f aca="false">IF(COUNT(B24:B28)&gt;1,IF(INDEX(B24:B28,1)=0,"",(INDEX(B24:B28,COUNT(B24:B28))-INDEX(B24:B28,1))/INDEX(B24:B28,1)),"")</f>
        <v>-0.492063492063492</v>
      </c>
    </row>
    <row r="39" customFormat="false" ht="15" hidden="false" customHeight="false" outlineLevel="0" collapsed="false">
      <c r="A39" s="12" t="s">
        <v>34</v>
      </c>
      <c r="B39" s="11" t="n">
        <f aca="false">IF(COUNT(B24:B28)&gt;1,(INDEX(B24:B28,COUNT(B24:B28))-INDEX(B24:B28,1))/(INDEX(A24:A28,COUNT(A24:A28))-INDEX(A24:A28,1)),"")</f>
        <v>-0.129166666666667</v>
      </c>
    </row>
    <row r="42" customFormat="false" ht="15" hidden="false" customHeight="false" outlineLevel="0" collapsed="false">
      <c r="A42" s="2" t="s">
        <v>36</v>
      </c>
    </row>
    <row r="43" customFormat="false" ht="23.85" hidden="false" customHeight="false" outlineLevel="0" collapsed="false">
      <c r="A43" s="5" t="s">
        <v>18</v>
      </c>
      <c r="B43" s="5" t="s">
        <v>19</v>
      </c>
      <c r="C43" s="5" t="s">
        <v>20</v>
      </c>
      <c r="D43" s="5" t="s">
        <v>21</v>
      </c>
      <c r="E43" s="5" t="s">
        <v>22</v>
      </c>
      <c r="F43" s="5" t="s">
        <v>23</v>
      </c>
    </row>
    <row r="44" customFormat="false" ht="15" hidden="false" customHeight="false" outlineLevel="0" collapsed="false">
      <c r="A44" s="6" t="n">
        <v>2014</v>
      </c>
      <c r="B44" s="7" t="n">
        <v>8.1</v>
      </c>
      <c r="C44" s="8"/>
      <c r="D44" s="9"/>
      <c r="E44" s="10"/>
      <c r="F44" s="11"/>
    </row>
    <row r="45" customFormat="false" ht="15" hidden="false" customHeight="false" outlineLevel="0" collapsed="false">
      <c r="A45" s="6" t="n">
        <v>2022</v>
      </c>
      <c r="B45" s="7" t="n">
        <v>4.2</v>
      </c>
      <c r="C45" s="8" t="n">
        <f aca="false">IF(OR(B45="",B44=""),"",B45-B44)</f>
        <v>-3.9</v>
      </c>
      <c r="D45" s="9" t="n">
        <f aca="false">IF(OR(B45="",B44="",B44=0),"",(B45-B44)/B44)</f>
        <v>-0.481481481481481</v>
      </c>
      <c r="E45" s="10" t="n">
        <f aca="false">IF(OR(A45="",A44=""),"",A45-A44)</f>
        <v>8</v>
      </c>
      <c r="F45" s="11" t="n">
        <f aca="false">IF(OR(C45="",E45="",E45=0),"",C45/E45)</f>
        <v>-0.4875</v>
      </c>
    </row>
    <row r="46" customFormat="false" ht="15" hidden="false" customHeight="false" outlineLevel="0" collapsed="false">
      <c r="A46" s="2" t="s">
        <v>24</v>
      </c>
    </row>
    <row r="47" customFormat="false" ht="15" hidden="false" customHeight="false" outlineLevel="0" collapsed="false">
      <c r="A47" s="12" t="s">
        <v>25</v>
      </c>
      <c r="B47" s="10" t="n">
        <f aca="false">COUNT(B44:B45)</f>
        <v>2</v>
      </c>
    </row>
    <row r="48" customFormat="false" ht="15" hidden="false" customHeight="false" outlineLevel="0" collapsed="false">
      <c r="A48" s="12" t="s">
        <v>26</v>
      </c>
      <c r="B48" s="13" t="n">
        <f aca="false">IFERROR(AVERAGE(B44:B45),"")</f>
        <v>6.15</v>
      </c>
    </row>
    <row r="49" customFormat="false" ht="15" hidden="false" customHeight="false" outlineLevel="0" collapsed="false">
      <c r="A49" s="12" t="s">
        <v>27</v>
      </c>
      <c r="B49" s="13" t="n">
        <f aca="false">IFERROR(MEDIAN(B44:B45),"")</f>
        <v>6.15</v>
      </c>
    </row>
    <row r="50" customFormat="false" ht="15" hidden="false" customHeight="false" outlineLevel="0" collapsed="false">
      <c r="A50" s="12" t="s">
        <v>28</v>
      </c>
      <c r="B50" s="13" t="n">
        <f aca="false">IFERROR(MIN(B44:B45),"")</f>
        <v>4.2</v>
      </c>
    </row>
    <row r="51" customFormat="false" ht="15" hidden="false" customHeight="false" outlineLevel="0" collapsed="false">
      <c r="A51" s="12" t="s">
        <v>29</v>
      </c>
      <c r="B51" s="13" t="n">
        <f aca="false">IFERROR(MAX(B44:B45),"")</f>
        <v>8.1</v>
      </c>
    </row>
    <row r="52" customFormat="false" ht="15" hidden="false" customHeight="false" outlineLevel="0" collapsed="false">
      <c r="A52" s="12" t="s">
        <v>30</v>
      </c>
      <c r="B52" s="13" t="n">
        <f aca="false">IFERROR(MAX(B44:B45)-MIN(B44:B45),"")</f>
        <v>3.9</v>
      </c>
    </row>
    <row r="53" customFormat="false" ht="15" hidden="false" customHeight="false" outlineLevel="0" collapsed="false">
      <c r="A53" s="12" t="s">
        <v>31</v>
      </c>
      <c r="B53" s="14" t="n">
        <f aca="false">IF(COUNT(B44:B45)&gt;1,STDEV(B44:B45),"")</f>
        <v>2.75771644662754</v>
      </c>
    </row>
    <row r="54" customFormat="false" ht="15" hidden="false" customHeight="false" outlineLevel="0" collapsed="false">
      <c r="A54" s="12" t="s">
        <v>32</v>
      </c>
      <c r="B54" s="8" t="n">
        <f aca="false">IF(COUNT(B44:B45)&gt;1,INDEX(B44:B45,COUNT(B44:B45))-INDEX(B44:B45,1),"")</f>
        <v>-3.9</v>
      </c>
    </row>
    <row r="55" customFormat="false" ht="15" hidden="false" customHeight="false" outlineLevel="0" collapsed="false">
      <c r="A55" s="12" t="s">
        <v>33</v>
      </c>
      <c r="B55" s="9" t="n">
        <f aca="false">IF(COUNT(B44:B45)&gt;1,IF(INDEX(B44:B45,1)=0,"",(INDEX(B44:B45,COUNT(B44:B45))-INDEX(B44:B45,1))/INDEX(B44:B45,1)),"")</f>
        <v>-0.481481481481481</v>
      </c>
    </row>
    <row r="56" customFormat="false" ht="15" hidden="false" customHeight="false" outlineLevel="0" collapsed="false">
      <c r="A56" s="12" t="s">
        <v>34</v>
      </c>
      <c r="B56" s="11" t="n">
        <f aca="false">IF(COUNT(B44:B45)&gt;1,(INDEX(B44:B45,COUNT(B44:B45))-INDEX(B44:B45,1))/(INDEX(A44:A45,COUNT(A44:A45))-INDEX(A44:A45,1)),"")</f>
        <v>-0.4875</v>
      </c>
    </row>
    <row r="59" customFormat="false" ht="15" hidden="false" customHeight="false" outlineLevel="0" collapsed="false">
      <c r="A59" s="2" t="s">
        <v>37</v>
      </c>
    </row>
    <row r="60" customFormat="false" ht="15" hidden="false" customHeight="false" outlineLevel="0" collapsed="false">
      <c r="A60" s="3" t="s">
        <v>38</v>
      </c>
    </row>
    <row r="61" customFormat="false" ht="15" hidden="false" customHeight="false" outlineLevel="0" collapsed="false">
      <c r="A61" s="3" t="s">
        <v>39</v>
      </c>
    </row>
    <row r="62" customFormat="false" ht="15" hidden="false" customHeight="false" outlineLevel="0" collapsed="false">
      <c r="A62" s="3" t="s">
        <v>40</v>
      </c>
    </row>
    <row r="63" customFormat="false" ht="15" hidden="false" customHeight="false" outlineLevel="0" collapsed="false">
      <c r="A63" s="3"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46"/>
    <col collapsed="false" customWidth="true" hidden="false" outlineLevel="0" max="6" min="3" style="0" width="20"/>
  </cols>
  <sheetData>
    <row r="1" customFormat="false" ht="16.15" hidden="false" customHeight="false" outlineLevel="0" collapsed="false">
      <c r="A1" s="1" t="s">
        <v>42</v>
      </c>
    </row>
    <row r="2" customFormat="false" ht="15" hidden="false" customHeight="false" outlineLevel="0" collapsed="false">
      <c r="A2" s="2" t="s">
        <v>43</v>
      </c>
      <c r="B2" s="15" t="s">
        <v>44</v>
      </c>
    </row>
    <row r="3" customFormat="false" ht="15" hidden="false" customHeight="false" outlineLevel="0" collapsed="false">
      <c r="A3" s="2" t="s">
        <v>45</v>
      </c>
      <c r="B3" s="15" t="s">
        <v>46</v>
      </c>
    </row>
    <row r="5" customFormat="false" ht="15" hidden="false" customHeight="false" outlineLevel="0" collapsed="false">
      <c r="A5" s="2" t="s">
        <v>47</v>
      </c>
    </row>
    <row r="6" customFormat="false" ht="31.5" hidden="false" customHeight="true" outlineLevel="0" collapsed="false">
      <c r="A6" s="5" t="s">
        <v>18</v>
      </c>
      <c r="B6" s="5" t="s">
        <v>19</v>
      </c>
      <c r="C6" s="5" t="s">
        <v>20</v>
      </c>
      <c r="D6" s="5" t="s">
        <v>21</v>
      </c>
      <c r="E6" s="5" t="s">
        <v>22</v>
      </c>
      <c r="F6" s="5" t="s">
        <v>23</v>
      </c>
    </row>
    <row r="7" customFormat="false" ht="15" hidden="false" customHeight="false" outlineLevel="0" collapsed="false">
      <c r="A7" s="16" t="n">
        <v>2014</v>
      </c>
      <c r="B7" s="17" t="n">
        <v>26</v>
      </c>
      <c r="C7" s="8"/>
      <c r="D7" s="9"/>
      <c r="E7" s="10"/>
      <c r="F7" s="11"/>
    </row>
    <row r="8" customFormat="false" ht="15" hidden="false" customHeight="false" outlineLevel="0" collapsed="false">
      <c r="A8" s="16" t="n">
        <v>2022</v>
      </c>
      <c r="B8" s="17" t="n">
        <v>18</v>
      </c>
      <c r="C8" s="8" t="n">
        <f aca="false">IF(OR(B8="",B7=""),"",B8-B7)</f>
        <v>-8</v>
      </c>
      <c r="D8" s="9" t="n">
        <f aca="false">IF(OR(B8="",B7="",B7=0),"",(B8-B7)/B7)</f>
        <v>-0.307692307692308</v>
      </c>
      <c r="E8" s="10" t="n">
        <f aca="false">IF(OR(A8="",A7=""),"",A8-A7)</f>
        <v>8</v>
      </c>
      <c r="F8" s="11" t="n">
        <f aca="false">IF(OR(C8="",E8="",E8=0),"",C8/E8)</f>
        <v>-1</v>
      </c>
    </row>
    <row r="9" customFormat="false" ht="15" hidden="false" customHeight="false" outlineLevel="0" collapsed="false">
      <c r="A9" s="16"/>
      <c r="B9" s="17"/>
      <c r="C9" s="8" t="str">
        <f aca="false">IF(OR(B9="",B8=""),"",B9-B8)</f>
        <v/>
      </c>
      <c r="D9" s="9" t="str">
        <f aca="false">IF(OR(B9="",B8="",B8=0),"",(B9-B8)/B8)</f>
        <v/>
      </c>
      <c r="E9" s="10" t="str">
        <f aca="false">IF(OR(A9="",A8=""),"",A9-A8)</f>
        <v/>
      </c>
      <c r="F9" s="11" t="str">
        <f aca="false">IF(OR(C9="",E9="",E9=0),"",C9/E9)</f>
        <v/>
      </c>
    </row>
    <row r="10" customFormat="false" ht="15" hidden="false" customHeight="false" outlineLevel="0" collapsed="false">
      <c r="A10" s="16"/>
      <c r="B10" s="17"/>
      <c r="C10" s="8" t="str">
        <f aca="false">IF(OR(B10="",B9=""),"",B10-B9)</f>
        <v/>
      </c>
      <c r="D10" s="9" t="str">
        <f aca="false">IF(OR(B10="",B9="",B9=0),"",(B10-B9)/B9)</f>
        <v/>
      </c>
      <c r="E10" s="10" t="str">
        <f aca="false">IF(OR(A10="",A9=""),"",A10-A9)</f>
        <v/>
      </c>
      <c r="F10" s="11" t="str">
        <f aca="false">IF(OR(C10="",E10="",E10=0),"",C10/E10)</f>
        <v/>
      </c>
    </row>
    <row r="11" customFormat="false" ht="15" hidden="false" customHeight="false" outlineLevel="0" collapsed="false">
      <c r="A11" s="16"/>
      <c r="B11" s="17"/>
      <c r="C11" s="8" t="str">
        <f aca="false">IF(OR(B11="",B10=""),"",B11-B10)</f>
        <v/>
      </c>
      <c r="D11" s="9" t="str">
        <f aca="false">IF(OR(B11="",B10="",B10=0),"",(B11-B10)/B10)</f>
        <v/>
      </c>
      <c r="E11" s="10" t="str">
        <f aca="false">IF(OR(A11="",A10=""),"",A11-A10)</f>
        <v/>
      </c>
      <c r="F11" s="11" t="str">
        <f aca="false">IF(OR(C11="",E11="",E11=0),"",C11/E11)</f>
        <v/>
      </c>
    </row>
    <row r="12" customFormat="false" ht="15" hidden="false" customHeight="false" outlineLevel="0" collapsed="false">
      <c r="A12" s="16"/>
      <c r="B12" s="17"/>
      <c r="C12" s="8" t="str">
        <f aca="false">IF(OR(B12="",B11=""),"",B12-B11)</f>
        <v/>
      </c>
      <c r="D12" s="9" t="str">
        <f aca="false">IF(OR(B12="",B11="",B11=0),"",(B12-B11)/B11)</f>
        <v/>
      </c>
      <c r="E12" s="10" t="str">
        <f aca="false">IF(OR(A12="",A11=""),"",A12-A11)</f>
        <v/>
      </c>
      <c r="F12" s="11" t="str">
        <f aca="false">IF(OR(C12="",E12="",E12=0),"",C12/E12)</f>
        <v/>
      </c>
    </row>
    <row r="13" customFormat="false" ht="15" hidden="false" customHeight="false" outlineLevel="0" collapsed="false">
      <c r="A13" s="16"/>
      <c r="B13" s="17"/>
      <c r="C13" s="8" t="str">
        <f aca="false">IF(OR(B13="",B12=""),"",B13-B12)</f>
        <v/>
      </c>
      <c r="D13" s="9" t="str">
        <f aca="false">IF(OR(B13="",B12="",B12=0),"",(B13-B12)/B12)</f>
        <v/>
      </c>
      <c r="E13" s="10" t="str">
        <f aca="false">IF(OR(A13="",A12=""),"",A13-A12)</f>
        <v/>
      </c>
      <c r="F13" s="11" t="str">
        <f aca="false">IF(OR(C13="",E13="",E13=0),"",C13/E13)</f>
        <v/>
      </c>
    </row>
    <row r="14" customFormat="false" ht="15" hidden="false" customHeight="false" outlineLevel="0" collapsed="false">
      <c r="A14" s="16"/>
      <c r="B14" s="17"/>
      <c r="C14" s="8" t="str">
        <f aca="false">IF(OR(B14="",B13=""),"",B14-B13)</f>
        <v/>
      </c>
      <c r="D14" s="9" t="str">
        <f aca="false">IF(OR(B14="",B13="",B13=0),"",(B14-B13)/B13)</f>
        <v/>
      </c>
      <c r="E14" s="10" t="str">
        <f aca="false">IF(OR(A14="",A13=""),"",A14-A13)</f>
        <v/>
      </c>
      <c r="F14" s="11" t="str">
        <f aca="false">IF(OR(C14="",E14="",E14=0),"",C14/E14)</f>
        <v/>
      </c>
    </row>
    <row r="15" customFormat="false" ht="15" hidden="false" customHeight="false" outlineLevel="0" collapsed="false">
      <c r="A15" s="16"/>
      <c r="B15" s="17"/>
      <c r="C15" s="8" t="str">
        <f aca="false">IF(OR(B15="",B14=""),"",B15-B14)</f>
        <v/>
      </c>
      <c r="D15" s="9" t="str">
        <f aca="false">IF(OR(B15="",B14="",B14=0),"",(B15-B14)/B14)</f>
        <v/>
      </c>
      <c r="E15" s="10" t="str">
        <f aca="false">IF(OR(A15="",A14=""),"",A15-A14)</f>
        <v/>
      </c>
      <c r="F15" s="11" t="str">
        <f aca="false">IF(OR(C15="",E15="",E15=0),"",C15/E15)</f>
        <v/>
      </c>
    </row>
    <row r="16" customFormat="false" ht="15" hidden="false" customHeight="false" outlineLevel="0" collapsed="false">
      <c r="A16" s="16"/>
      <c r="B16" s="17"/>
      <c r="C16" s="8" t="str">
        <f aca="false">IF(OR(B16="",B15=""),"",B16-B15)</f>
        <v/>
      </c>
      <c r="D16" s="9" t="str">
        <f aca="false">IF(OR(B16="",B15="",B15=0),"",(B16-B15)/B15)</f>
        <v/>
      </c>
      <c r="E16" s="10" t="str">
        <f aca="false">IF(OR(A16="",A15=""),"",A16-A15)</f>
        <v/>
      </c>
      <c r="F16" s="11" t="str">
        <f aca="false">IF(OR(C16="",E16="",E16=0),"",C16/E16)</f>
        <v/>
      </c>
    </row>
    <row r="17" customFormat="false" ht="15" hidden="false" customHeight="false" outlineLevel="0" collapsed="false">
      <c r="A17" s="2" t="s">
        <v>24</v>
      </c>
    </row>
    <row r="18" customFormat="false" ht="15" hidden="false" customHeight="false" outlineLevel="0" collapsed="false">
      <c r="A18" s="12" t="s">
        <v>25</v>
      </c>
      <c r="B18" s="10" t="n">
        <f aca="false">COUNT(B7:B16)</f>
        <v>2</v>
      </c>
    </row>
    <row r="19" customFormat="false" ht="15" hidden="false" customHeight="false" outlineLevel="0" collapsed="false">
      <c r="A19" s="12" t="s">
        <v>26</v>
      </c>
      <c r="B19" s="13" t="n">
        <f aca="false">IFERROR(AVERAGE(B7:B16),"")</f>
        <v>22</v>
      </c>
    </row>
    <row r="20" customFormat="false" ht="15" hidden="false" customHeight="false" outlineLevel="0" collapsed="false">
      <c r="A20" s="12" t="s">
        <v>27</v>
      </c>
      <c r="B20" s="13" t="n">
        <f aca="false">IFERROR(MEDIAN(B7:B16),"")</f>
        <v>22</v>
      </c>
    </row>
    <row r="21" customFormat="false" ht="15" hidden="false" customHeight="false" outlineLevel="0" collapsed="false">
      <c r="A21" s="12" t="s">
        <v>28</v>
      </c>
      <c r="B21" s="13" t="n">
        <f aca="false">IFERROR(MIN(B7:B16),"")</f>
        <v>18</v>
      </c>
    </row>
    <row r="22" customFormat="false" ht="15" hidden="false" customHeight="false" outlineLevel="0" collapsed="false">
      <c r="A22" s="12" t="s">
        <v>29</v>
      </c>
      <c r="B22" s="13" t="n">
        <f aca="false">IFERROR(MAX(B7:B16),"")</f>
        <v>26</v>
      </c>
    </row>
    <row r="23" customFormat="false" ht="15" hidden="false" customHeight="false" outlineLevel="0" collapsed="false">
      <c r="A23" s="12" t="s">
        <v>30</v>
      </c>
      <c r="B23" s="13" t="n">
        <f aca="false">IFERROR(MAX(B7:B16)-MIN(B7:B16),"")</f>
        <v>8</v>
      </c>
    </row>
    <row r="24" customFormat="false" ht="15" hidden="false" customHeight="false" outlineLevel="0" collapsed="false">
      <c r="A24" s="12" t="s">
        <v>31</v>
      </c>
      <c r="B24" s="14" t="n">
        <f aca="false">IF(COUNT(B7:B16)&gt;1,STDEV(B7:B16),"")</f>
        <v>5.65685424949238</v>
      </c>
    </row>
    <row r="25" customFormat="false" ht="15" hidden="false" customHeight="false" outlineLevel="0" collapsed="false">
      <c r="A25" s="12" t="s">
        <v>32</v>
      </c>
      <c r="B25" s="8" t="n">
        <f aca="false">IF(COUNT(B7:B16)&gt;1,INDEX(B7:B16,COUNT(B7:B16))-INDEX(B7:B16,1),"")</f>
        <v>-8</v>
      </c>
    </row>
    <row r="26" customFormat="false" ht="15" hidden="false" customHeight="false" outlineLevel="0" collapsed="false">
      <c r="A26" s="12" t="s">
        <v>33</v>
      </c>
      <c r="B26" s="9" t="n">
        <f aca="false">IF(COUNT(B7:B16)&gt;1,IF(INDEX(B7:B16,1)=0,"",(INDEX(B7:B16,COUNT(B7:B16))-INDEX(B7:B16,1))/INDEX(B7:B16,1)),"")</f>
        <v>-0.307692307692308</v>
      </c>
    </row>
    <row r="27" customFormat="false" ht="15" hidden="false" customHeight="false" outlineLevel="0" collapsed="false">
      <c r="A27" s="12" t="s">
        <v>34</v>
      </c>
      <c r="B27" s="11" t="n">
        <f aca="false">IF(COUNT(B7:B16)&gt;1,(INDEX(B7:B16,COUNT(B7:B16))-INDEX(B7:B16,1))/(INDEX(A7:A16,COUNT(A7:A16))-INDEX(A7:A16,1)),"")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22"/>
    <col collapsed="false" customWidth="true" hidden="false" outlineLevel="0" max="4" min="4" style="0" width="46"/>
    <col collapsed="false" customWidth="true" hidden="false" outlineLevel="0" max="5" min="5" style="0" width="34"/>
    <col collapsed="false" customWidth="true" hidden="false" outlineLevel="0" max="6" min="6" style="0" width="50"/>
    <col collapsed="false" customWidth="true" hidden="false" outlineLevel="0" max="7" min="7" style="0" width="14"/>
    <col collapsed="false" customWidth="true" hidden="false" outlineLevel="0" max="8" min="8" style="0" width="22"/>
  </cols>
  <sheetData>
    <row r="1" customFormat="false" ht="16.15" hidden="false" customHeight="false" outlineLevel="0" collapsed="false">
      <c r="A1" s="1" t="s">
        <v>48</v>
      </c>
    </row>
    <row r="3" customFormat="false" ht="23.85" hidden="false" customHeight="false" outlineLevel="0" collapsed="false">
      <c r="A3" s="5" t="s">
        <v>49</v>
      </c>
      <c r="B3" s="5" t="s">
        <v>50</v>
      </c>
      <c r="C3" s="5" t="s">
        <v>51</v>
      </c>
      <c r="D3" s="5" t="s">
        <v>52</v>
      </c>
      <c r="E3" s="5" t="s">
        <v>53</v>
      </c>
      <c r="F3" s="5" t="s">
        <v>54</v>
      </c>
      <c r="G3" s="5" t="s">
        <v>55</v>
      </c>
      <c r="H3" s="5" t="s">
        <v>56</v>
      </c>
    </row>
    <row r="4" customFormat="false" ht="23.85" hidden="false" customHeight="false" outlineLevel="0" collapsed="false">
      <c r="A4" s="18" t="s">
        <v>57</v>
      </c>
      <c r="B4" s="19" t="n">
        <v>35</v>
      </c>
      <c r="C4" s="19" t="s">
        <v>58</v>
      </c>
      <c r="D4" s="18" t="s">
        <v>59</v>
      </c>
      <c r="E4" s="18" t="s">
        <v>60</v>
      </c>
      <c r="F4" s="18" t="s">
        <v>61</v>
      </c>
      <c r="G4" s="18" t="s">
        <v>62</v>
      </c>
      <c r="H4" s="18" t="s">
        <v>63</v>
      </c>
    </row>
    <row r="5" customFormat="false" ht="23.85" hidden="false" customHeight="false" outlineLevel="0" collapsed="false">
      <c r="A5" s="18" t="s">
        <v>57</v>
      </c>
      <c r="B5" s="19" t="n">
        <v>18</v>
      </c>
      <c r="C5" s="19" t="s">
        <v>64</v>
      </c>
      <c r="D5" s="18" t="s">
        <v>59</v>
      </c>
      <c r="E5" s="18" t="s">
        <v>60</v>
      </c>
      <c r="F5" s="18" t="s">
        <v>61</v>
      </c>
      <c r="G5" s="18" t="s">
        <v>62</v>
      </c>
      <c r="H5" s="18" t="s">
        <v>63</v>
      </c>
    </row>
    <row r="6" customFormat="false" ht="23.85" hidden="false" customHeight="false" outlineLevel="0" collapsed="false">
      <c r="A6" s="18" t="s">
        <v>57</v>
      </c>
      <c r="B6" s="19" t="n">
        <v>26</v>
      </c>
      <c r="C6" s="19" t="s">
        <v>65</v>
      </c>
      <c r="D6" s="18" t="s">
        <v>66</v>
      </c>
      <c r="E6" s="18" t="s">
        <v>67</v>
      </c>
      <c r="F6" s="18" t="s">
        <v>68</v>
      </c>
      <c r="G6" s="18" t="s">
        <v>62</v>
      </c>
      <c r="H6" s="18" t="s">
        <v>63</v>
      </c>
    </row>
    <row r="7" customFormat="false" ht="23.85" hidden="false" customHeight="false" outlineLevel="0" collapsed="false">
      <c r="A7" s="18" t="s">
        <v>69</v>
      </c>
      <c r="B7" s="19" t="s">
        <v>70</v>
      </c>
      <c r="C7" s="19" t="s">
        <v>71</v>
      </c>
      <c r="D7" s="18" t="s">
        <v>72</v>
      </c>
      <c r="E7" s="18" t="s">
        <v>73</v>
      </c>
      <c r="F7" s="18" t="s">
        <v>74</v>
      </c>
      <c r="G7" s="18" t="s">
        <v>62</v>
      </c>
      <c r="H7" s="18" t="s">
        <v>63</v>
      </c>
    </row>
    <row r="8" customFormat="false" ht="23.85" hidden="false" customHeight="false" outlineLevel="0" collapsed="false">
      <c r="A8" s="18" t="s">
        <v>75</v>
      </c>
      <c r="B8" s="19" t="s">
        <v>76</v>
      </c>
      <c r="C8" s="19" t="s">
        <v>77</v>
      </c>
      <c r="D8" s="18" t="s">
        <v>72</v>
      </c>
      <c r="E8" s="18" t="s">
        <v>73</v>
      </c>
      <c r="F8" s="18" t="s">
        <v>74</v>
      </c>
      <c r="G8" s="18" t="s">
        <v>62</v>
      </c>
      <c r="H8" s="18" t="s">
        <v>63</v>
      </c>
    </row>
    <row r="9" customFormat="false" ht="23.85" hidden="false" customHeight="false" outlineLevel="0" collapsed="false">
      <c r="A9" s="18" t="s">
        <v>78</v>
      </c>
      <c r="B9" s="19" t="s">
        <v>79</v>
      </c>
      <c r="C9" s="19" t="s">
        <v>64</v>
      </c>
      <c r="D9" s="18" t="s">
        <v>80</v>
      </c>
      <c r="E9" s="18" t="s">
        <v>81</v>
      </c>
      <c r="F9" s="18" t="s">
        <v>82</v>
      </c>
      <c r="G9" s="18" t="s">
        <v>62</v>
      </c>
      <c r="H9" s="18" t="s">
        <v>63</v>
      </c>
    </row>
    <row r="10" customFormat="false" ht="15" hidden="false" customHeight="false" outlineLevel="0" collapsed="false">
      <c r="A10" s="20"/>
      <c r="B10" s="20"/>
      <c r="C10" s="20"/>
      <c r="D10" s="20"/>
      <c r="E10" s="20"/>
      <c r="F10" s="20"/>
      <c r="G10" s="20"/>
      <c r="H10" s="20"/>
    </row>
    <row r="11" customFormat="false" ht="15" hidden="false" customHeight="false" outlineLevel="0" collapsed="false">
      <c r="A11" s="20"/>
      <c r="B11" s="20"/>
      <c r="C11" s="20"/>
      <c r="D11" s="20"/>
      <c r="E11" s="20"/>
      <c r="F11" s="20"/>
      <c r="G11" s="20"/>
      <c r="H11" s="20"/>
    </row>
    <row r="12" customFormat="false" ht="15" hidden="false" customHeight="false" outlineLevel="0" collapsed="false">
      <c r="A12" s="20"/>
      <c r="B12" s="20"/>
      <c r="C12" s="20"/>
      <c r="D12" s="20"/>
      <c r="E12" s="20"/>
      <c r="F12" s="20"/>
      <c r="G12" s="20"/>
      <c r="H12" s="20"/>
    </row>
    <row r="13" customFormat="false" ht="15" hidden="false" customHeight="false" outlineLevel="0" collapsed="false">
      <c r="A13" s="20"/>
      <c r="B13" s="20"/>
      <c r="C13" s="20"/>
      <c r="D13" s="20"/>
      <c r="E13" s="20"/>
      <c r="F13" s="20"/>
      <c r="G13" s="20"/>
      <c r="H13" s="20"/>
    </row>
    <row r="14" customFormat="false" ht="15" hidden="false" customHeight="false" outlineLevel="0" collapsed="false">
      <c r="A14" s="20"/>
      <c r="B14" s="20"/>
      <c r="C14" s="20"/>
      <c r="D14" s="20"/>
      <c r="E14" s="20"/>
      <c r="F14" s="20"/>
      <c r="G14" s="20"/>
      <c r="H14" s="20"/>
    </row>
    <row r="15" customFormat="false" ht="15" hidden="false" customHeight="false" outlineLevel="0" collapsed="false">
      <c r="A15" s="20"/>
      <c r="B15" s="20"/>
      <c r="C15" s="20"/>
      <c r="D15" s="20"/>
      <c r="E15" s="20"/>
      <c r="F15" s="20"/>
      <c r="G15" s="20"/>
      <c r="H15" s="20"/>
    </row>
    <row r="16" customFormat="false" ht="15" hidden="false" customHeight="false" outlineLevel="0" collapsed="false">
      <c r="A16" s="20"/>
      <c r="B16" s="20"/>
      <c r="C16" s="20"/>
      <c r="D16" s="20"/>
      <c r="E16" s="20"/>
      <c r="F16" s="20"/>
      <c r="G16" s="20"/>
      <c r="H16" s="20"/>
    </row>
    <row r="17" customFormat="false" ht="15" hidden="false" customHeight="false" outlineLevel="0" collapsed="false">
      <c r="A17" s="20"/>
      <c r="B17" s="20"/>
      <c r="C17" s="20"/>
      <c r="D17" s="20"/>
      <c r="E17" s="20"/>
      <c r="F17" s="20"/>
      <c r="G17" s="20"/>
      <c r="H17" s="20"/>
    </row>
    <row r="18" customFormat="false" ht="15" hidden="false" customHeight="false" outlineLevel="0" collapsed="false">
      <c r="A18" s="20"/>
      <c r="B18" s="20"/>
      <c r="C18" s="20"/>
      <c r="D18" s="20"/>
      <c r="E18" s="20"/>
      <c r="F18" s="20"/>
      <c r="G18" s="20"/>
      <c r="H18" s="20"/>
    </row>
    <row r="19" customFormat="false" ht="15" hidden="false" customHeight="false" outlineLevel="0" collapsed="false">
      <c r="A19" s="20"/>
      <c r="B19" s="20"/>
      <c r="C19" s="20"/>
      <c r="D19" s="20"/>
      <c r="E19" s="20"/>
      <c r="F19" s="20"/>
      <c r="G19" s="20"/>
      <c r="H19" s="20"/>
    </row>
    <row r="20" customFormat="false" ht="15" hidden="false" customHeight="false" outlineLevel="0" collapsed="false">
      <c r="A20" s="20"/>
      <c r="B20" s="20"/>
      <c r="C20" s="20"/>
      <c r="D20" s="20"/>
      <c r="E20" s="20"/>
      <c r="F20" s="20"/>
      <c r="G20" s="20"/>
      <c r="H20" s="20"/>
    </row>
    <row r="21" customFormat="false" ht="15" hidden="false" customHeight="false" outlineLevel="0" collapsed="false">
      <c r="A21" s="20"/>
      <c r="B21" s="20"/>
      <c r="C21" s="20"/>
      <c r="D21" s="20"/>
      <c r="E21" s="20"/>
      <c r="F21" s="20"/>
      <c r="G21" s="20"/>
      <c r="H21" s="20"/>
    </row>
    <row r="23" customFormat="false" ht="15" hidden="false" customHeight="false" outlineLevel="0" collapsed="false">
      <c r="A23" s="4"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2026-10-25T13:51:51Z</dcterms:created>
  <dc:creator>openpyxl</dc:creator>
  <dc:description/>
  <dc:language>en-US</dc:language>
  <cp:lastModifiedBy/>
  <dcterms:modified xsi:type="dcterms:W3CDTF">2026-10-25T13:51:53Z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