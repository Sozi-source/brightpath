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uide" sheetId="1" state="visible" r:id="rId3"/>
    <sheet name="Inputs" sheetId="2" state="visible" r:id="rId4"/>
    <sheet name="Statements" sheetId="3" state="visible" r:id="rId5"/>
    <sheet name="BreakEve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<sst xmlns="http://schemas.openxmlformats.org/spreadsheetml/2006/main" count="130" uniqueCount="104">
  <si>
    <t xml:space="preserve">Business Plan Financial Model (Template)</t>
  </si>
  <si>
    <t xml:space="preserve">Use for Chapter Five of your KNEC entrepreneurship business plan. Three-year projection in Kenya shillings (KES).</t>
  </si>
  <si>
    <t xml:space="preserve">How to use</t>
  </si>
  <si>
    <t xml:space="preserve">1. Go to the Inputs sheet. Type your own figures in the yellow cells.</t>
  </si>
  <si>
    <t xml:space="preserve">2. The values currently shown are EXAMPLE values for a fictional business. Replace every one with your own price quotes, survey results and costs.</t>
  </si>
  <si>
    <t xml:space="preserve">3. Statements and BreakEven calculate automatically. Do not type over black cells.</t>
  </si>
  <si>
    <t xml:space="preserve">4. Copy the results into the tables in Chapter Five of your report.</t>
  </si>
  <si>
    <t xml:space="preserve">5. On the Statements sheet, the balance check must show 0. If it does not, an input is missing.</t>
  </si>
  <si>
    <t xml:space="preserve">Colour code</t>
  </si>
  <si>
    <t xml:space="preserve">Blue = typed input. Black = formula. Yellow fill = cell for you to fill in.</t>
  </si>
  <si>
    <t xml:space="preserve">Simplifying assumptions (state these in your report)</t>
  </si>
  <si>
    <t xml:space="preserve">Sales volume and variable cost per unit are the same through the year. Stock is held at the start-up level.</t>
  </si>
  <si>
    <t xml:space="preserve">Customers pay in cash. Suppliers are paid in cash. There is no change in debtors or creditors.</t>
  </si>
  <si>
    <t xml:space="preserve">Equipment is depreciated in a straight line. Loan principal is repaid in equal yearly instalments. Interest is charged on the opening balance.</t>
  </si>
  <si>
    <t xml:space="preserve">Tax: enter the rate that applies to your business after checking current KRA rules. Losses are not carried forward in this model.</t>
  </si>
  <si>
    <t xml:space="preserve">Every number must come from your own evidence. Keep quotes and survey summaries in the appendices.</t>
  </si>
  <si>
    <t xml:space="preserve">Inputs (type in yellow cells)</t>
  </si>
  <si>
    <t xml:space="preserve">EXAMPLE VALUES for a fictional business. Replace all of them with your own evidence.</t>
  </si>
  <si>
    <t xml:space="preserve">Business</t>
  </si>
  <si>
    <t xml:space="preserve">Business name</t>
  </si>
  <si>
    <t xml:space="preserve">Example Business</t>
  </si>
  <si>
    <t xml:space="preserve">Sales and variable costs</t>
  </si>
  <si>
    <t xml:space="preserve">Selling price per unit, Year 1</t>
  </si>
  <si>
    <t xml:space="preserve">KES</t>
  </si>
  <si>
    <t xml:space="preserve">Units sold per month, Year 1</t>
  </si>
  <si>
    <t xml:space="preserve">units</t>
  </si>
  <si>
    <t xml:space="preserve">Growth in units, Year 2</t>
  </si>
  <si>
    <t xml:space="preserve">from Year 1</t>
  </si>
  <si>
    <t xml:space="preserve">Growth in units, Year 3</t>
  </si>
  <si>
    <t xml:space="preserve">from Year 2</t>
  </si>
  <si>
    <t xml:space="preserve">Yearly price increase</t>
  </si>
  <si>
    <t xml:space="preserve">per year</t>
  </si>
  <si>
    <t xml:space="preserve">Variable cost per unit (materials, packaging)</t>
  </si>
  <si>
    <t xml:space="preserve">Fixed operating costs (per month)</t>
  </si>
  <si>
    <t xml:space="preserve">Rent</t>
  </si>
  <si>
    <t xml:space="preserve">KES per month</t>
  </si>
  <si>
    <t xml:space="preserve">Salaries and wages</t>
  </si>
  <si>
    <t xml:space="preserve">Utilities</t>
  </si>
  <si>
    <t xml:space="preserve">Marketing</t>
  </si>
  <si>
    <t xml:space="preserve">Licences and permits</t>
  </si>
  <si>
    <t xml:space="preserve">Other fixed costs</t>
  </si>
  <si>
    <t xml:space="preserve">Start-up costs</t>
  </si>
  <si>
    <t xml:space="preserve">Equipment and machinery</t>
  </si>
  <si>
    <t xml:space="preserve">Initial stock</t>
  </si>
  <si>
    <t xml:space="preserve">Registration, deposits, other start-up costs</t>
  </si>
  <si>
    <t xml:space="preserve">Useful life of equipment</t>
  </si>
  <si>
    <t xml:space="preserve">years</t>
  </si>
  <si>
    <t xml:space="preserve">Funding</t>
  </si>
  <si>
    <t xml:space="preserve">Owner's capital</t>
  </si>
  <si>
    <t xml:space="preserve">Loan received</t>
  </si>
  <si>
    <t xml:space="preserve">Loan interest rate</t>
  </si>
  <si>
    <t xml:space="preserve">Loan term</t>
  </si>
  <si>
    <t xml:space="preserve">Tax</t>
  </si>
  <si>
    <t xml:space="preserve">Tax rate on profit (check KRA rules)</t>
  </si>
  <si>
    <t xml:space="preserve">enter the rate that applies</t>
  </si>
  <si>
    <t xml:space="preserve">Projected financial statements (KES)</t>
  </si>
  <si>
    <t xml:space="preserve">All cells calculate from the Inputs sheet.</t>
  </si>
  <si>
    <t xml:space="preserve">Sales volume and price</t>
  </si>
  <si>
    <t xml:space="preserve">Year 1</t>
  </si>
  <si>
    <t xml:space="preserve">Year 2</t>
  </si>
  <si>
    <t xml:space="preserve">Year 3</t>
  </si>
  <si>
    <t xml:space="preserve">Units sold</t>
  </si>
  <si>
    <t xml:space="preserve">Price per unit (KES)</t>
  </si>
  <si>
    <t xml:space="preserve">Income statement</t>
  </si>
  <si>
    <t xml:space="preserve">Sales</t>
  </si>
  <si>
    <t xml:space="preserve">Cost of goods sold</t>
  </si>
  <si>
    <t xml:space="preserve">Gross profit</t>
  </si>
  <si>
    <t xml:space="preserve">Operating expenses (fixed)</t>
  </si>
  <si>
    <t xml:space="preserve">Depreciation</t>
  </si>
  <si>
    <t xml:space="preserve">Operating profit</t>
  </si>
  <si>
    <t xml:space="preserve">Interest</t>
  </si>
  <si>
    <t xml:space="preserve">Profit before tax</t>
  </si>
  <si>
    <t xml:space="preserve">Net profit</t>
  </si>
  <si>
    <t xml:space="preserve">Loan schedule</t>
  </si>
  <si>
    <t xml:space="preserve">Opening loan balance</t>
  </si>
  <si>
    <t xml:space="preserve">Principal repaid</t>
  </si>
  <si>
    <t xml:space="preserve">Closing loan balance</t>
  </si>
  <si>
    <t xml:space="preserve">Cash flow</t>
  </si>
  <si>
    <t xml:space="preserve">Opening cash</t>
  </si>
  <si>
    <t xml:space="preserve">Loan balance (memo)</t>
  </si>
  <si>
    <t xml:space="preserve">Cash from operations (net profit + depreciation)</t>
  </si>
  <si>
    <t xml:space="preserve">Loan principal repaid</t>
  </si>
  <si>
    <t xml:space="preserve">Closing cash</t>
  </si>
  <si>
    <t xml:space="preserve">Balance sheet (end of year)</t>
  </si>
  <si>
    <t xml:space="preserve">Cash</t>
  </si>
  <si>
    <t xml:space="preserve">Equipment (net of depreciation)</t>
  </si>
  <si>
    <t xml:space="preserve">Stock and other start-up assets</t>
  </si>
  <si>
    <t xml:space="preserve">Total assets</t>
  </si>
  <si>
    <t xml:space="preserve">Loan outstanding</t>
  </si>
  <si>
    <t xml:space="preserve">Owner's equity (capital + retained profit)</t>
  </si>
  <si>
    <t xml:space="preserve">Total liabilities and equity</t>
  </si>
  <si>
    <t xml:space="preserve">Balance check (must be 0)</t>
  </si>
  <si>
    <t xml:space="preserve">Break-even analysis (Year 1)</t>
  </si>
  <si>
    <t xml:space="preserve">Selling price per unit (KES)</t>
  </si>
  <si>
    <t xml:space="preserve">Variable cost per unit (KES)</t>
  </si>
  <si>
    <t xml:space="preserve">Contribution per unit (KES)</t>
  </si>
  <si>
    <t xml:space="preserve">Annual fixed costs: operating expenses + depreciation + interest</t>
  </si>
  <si>
    <t xml:space="preserve">Break-even units per year</t>
  </si>
  <si>
    <t xml:space="preserve">Break-even units per month</t>
  </si>
  <si>
    <t xml:space="preserve">Break-even sales (KES per year)</t>
  </si>
  <si>
    <t xml:space="preserve">Planned units per year</t>
  </si>
  <si>
    <t xml:space="preserve">Margin of safety (units above break-even)</t>
  </si>
  <si>
    <t xml:space="preserve">Margin of safety (% of planned units)</t>
  </si>
  <si>
    <t xml:space="preserve">Break-even units = fixed costs / contribution per unit. If planned units are below break-even, the business makes a loss.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</si>
</sst>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@"/>
    <numFmt numFmtId="166" formatCode="#,##0;\(#,##0\);\-"/>
    <numFmt numFmtId="167" formatCode="0.0%"/>
    <numFmt numFmtId="168" formatCode="0"/>
    <numFmt numFmtId="169" formatCode="#,##0"/>
    <numFmt numFmtId="170" formatCode="#,##0.00"/>
    <numFmt numFmtId="171" formatCode="0.00;\-0.00;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555555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7E6E6"/>
        <bgColor rgb="FFFFFFCC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/>
    </row>
    <row r="14" customFormat="false" ht="15" hidden="false" customHeight="false" outlineLevel="0" collapsed="false">
      <c r="A14" s="3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/>
    </row>
    <row r="20" customFormat="false" ht="15" hidden="false" customHeight="false" outlineLevel="0" collapsed="false">
      <c r="A20" s="3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20"/>
    <col collapsed="false" customWidth="true" hidden="false" outlineLevel="0" max="3" min="3" style="0" width="26"/>
  </cols>
  <sheetData>
    <row r="1" customFormat="false" ht="16.15" hidden="false" customHeight="false" outlineLevel="0" collapsed="false">
      <c r="A1" s="1" t="s">
        <v>16</v>
      </c>
    </row>
    <row r="2" customFormat="false" ht="15" hidden="false" customHeight="false" outlineLevel="0" collapsed="false">
      <c r="A2" s="4" t="s">
        <v>17</v>
      </c>
    </row>
    <row r="3" customFormat="false" ht="15" hidden="false" customHeight="false" outlineLevel="0" collapsed="false">
      <c r="A3" s="5" t="s">
        <v>18</v>
      </c>
      <c r="B3" s="6"/>
      <c r="C3" s="6"/>
    </row>
    <row r="4" customFormat="false" ht="15" hidden="false" customHeight="false" outlineLevel="0" collapsed="false">
      <c r="A4" s="7" t="s">
        <v>19</v>
      </c>
      <c r="B4" s="8" t="s">
        <v>20</v>
      </c>
      <c r="C4" s="4"/>
    </row>
    <row r="5" customFormat="false" ht="15" hidden="false" customHeight="false" outlineLevel="0" collapsed="false">
      <c r="A5" s="5" t="s">
        <v>21</v>
      </c>
      <c r="B5" s="6"/>
      <c r="C5" s="6"/>
    </row>
    <row r="6" customFormat="false" ht="15" hidden="false" customHeight="false" outlineLevel="0" collapsed="false">
      <c r="A6" s="7" t="s">
        <v>22</v>
      </c>
      <c r="B6" s="9" t="n">
        <v>150</v>
      </c>
      <c r="C6" s="4" t="s">
        <v>23</v>
      </c>
    </row>
    <row r="7" customFormat="false" ht="15" hidden="false" customHeight="false" outlineLevel="0" collapsed="false">
      <c r="A7" s="7" t="s">
        <v>24</v>
      </c>
      <c r="B7" s="9" t="n">
        <v>800</v>
      </c>
      <c r="C7" s="4" t="s">
        <v>25</v>
      </c>
    </row>
    <row r="8" customFormat="false" ht="15" hidden="false" customHeight="false" outlineLevel="0" collapsed="false">
      <c r="A8" s="7" t="s">
        <v>26</v>
      </c>
      <c r="B8" s="10" t="n">
        <v>0.1</v>
      </c>
      <c r="C8" s="4" t="s">
        <v>27</v>
      </c>
    </row>
    <row r="9" customFormat="false" ht="15" hidden="false" customHeight="false" outlineLevel="0" collapsed="false">
      <c r="A9" s="7" t="s">
        <v>28</v>
      </c>
      <c r="B9" s="10" t="n">
        <v>0.1</v>
      </c>
      <c r="C9" s="4" t="s">
        <v>29</v>
      </c>
    </row>
    <row r="10" customFormat="false" ht="15" hidden="false" customHeight="false" outlineLevel="0" collapsed="false">
      <c r="A10" s="7" t="s">
        <v>30</v>
      </c>
      <c r="B10" s="10" t="n">
        <v>0.05</v>
      </c>
      <c r="C10" s="4" t="s">
        <v>31</v>
      </c>
    </row>
    <row r="11" customFormat="false" ht="15" hidden="false" customHeight="false" outlineLevel="0" collapsed="false">
      <c r="A11" s="7" t="s">
        <v>32</v>
      </c>
      <c r="B11" s="9" t="n">
        <v>90</v>
      </c>
      <c r="C11" s="4" t="s">
        <v>23</v>
      </c>
    </row>
    <row r="12" customFormat="false" ht="15" hidden="false" customHeight="false" outlineLevel="0" collapsed="false">
      <c r="A12" s="5" t="s">
        <v>33</v>
      </c>
      <c r="B12" s="6"/>
      <c r="C12" s="6"/>
    </row>
    <row r="13" customFormat="false" ht="15" hidden="false" customHeight="false" outlineLevel="0" collapsed="false">
      <c r="A13" s="7" t="s">
        <v>34</v>
      </c>
      <c r="B13" s="9" t="n">
        <v>8000</v>
      </c>
      <c r="C13" s="4" t="s">
        <v>35</v>
      </c>
    </row>
    <row r="14" customFormat="false" ht="15" hidden="false" customHeight="false" outlineLevel="0" collapsed="false">
      <c r="A14" s="7" t="s">
        <v>36</v>
      </c>
      <c r="B14" s="9" t="n">
        <v>15000</v>
      </c>
      <c r="C14" s="4" t="s">
        <v>35</v>
      </c>
    </row>
    <row r="15" customFormat="false" ht="15" hidden="false" customHeight="false" outlineLevel="0" collapsed="false">
      <c r="A15" s="7" t="s">
        <v>37</v>
      </c>
      <c r="B15" s="9" t="n">
        <v>3000</v>
      </c>
      <c r="C15" s="4" t="s">
        <v>35</v>
      </c>
    </row>
    <row r="16" customFormat="false" ht="15" hidden="false" customHeight="false" outlineLevel="0" collapsed="false">
      <c r="A16" s="7" t="s">
        <v>38</v>
      </c>
      <c r="B16" s="9" t="n">
        <v>2000</v>
      </c>
      <c r="C16" s="4" t="s">
        <v>35</v>
      </c>
    </row>
    <row r="17" customFormat="false" ht="15" hidden="false" customHeight="false" outlineLevel="0" collapsed="false">
      <c r="A17" s="7" t="s">
        <v>39</v>
      </c>
      <c r="B17" s="9" t="n">
        <v>500</v>
      </c>
      <c r="C17" s="4" t="s">
        <v>35</v>
      </c>
    </row>
    <row r="18" customFormat="false" ht="15" hidden="false" customHeight="false" outlineLevel="0" collapsed="false">
      <c r="A18" s="7" t="s">
        <v>40</v>
      </c>
      <c r="B18" s="9" t="n">
        <v>1500</v>
      </c>
      <c r="C18" s="4" t="s">
        <v>35</v>
      </c>
    </row>
    <row r="19" customFormat="false" ht="15" hidden="false" customHeight="false" outlineLevel="0" collapsed="false">
      <c r="A19" s="5" t="s">
        <v>41</v>
      </c>
      <c r="B19" s="6"/>
      <c r="C19" s="6"/>
    </row>
    <row r="20" customFormat="false" ht="15" hidden="false" customHeight="false" outlineLevel="0" collapsed="false">
      <c r="A20" s="7" t="s">
        <v>42</v>
      </c>
      <c r="B20" s="9" t="n">
        <v>120000</v>
      </c>
      <c r="C20" s="4" t="s">
        <v>23</v>
      </c>
    </row>
    <row r="21" customFormat="false" ht="15" hidden="false" customHeight="false" outlineLevel="0" collapsed="false">
      <c r="A21" s="7" t="s">
        <v>43</v>
      </c>
      <c r="B21" s="9" t="n">
        <v>40000</v>
      </c>
      <c r="C21" s="4" t="s">
        <v>23</v>
      </c>
    </row>
    <row r="22" customFormat="false" ht="15" hidden="false" customHeight="false" outlineLevel="0" collapsed="false">
      <c r="A22" s="7" t="s">
        <v>44</v>
      </c>
      <c r="B22" s="9" t="n">
        <v>30000</v>
      </c>
      <c r="C22" s="4" t="s">
        <v>23</v>
      </c>
    </row>
    <row r="23" customFormat="false" ht="15" hidden="false" customHeight="false" outlineLevel="0" collapsed="false">
      <c r="A23" s="7" t="s">
        <v>45</v>
      </c>
      <c r="B23" s="11" t="n">
        <v>5</v>
      </c>
      <c r="C23" s="4" t="s">
        <v>46</v>
      </c>
    </row>
    <row r="24" customFormat="false" ht="15" hidden="false" customHeight="false" outlineLevel="0" collapsed="false">
      <c r="A24" s="5" t="s">
        <v>47</v>
      </c>
      <c r="B24" s="6"/>
      <c r="C24" s="6"/>
    </row>
    <row r="25" customFormat="false" ht="15" hidden="false" customHeight="false" outlineLevel="0" collapsed="false">
      <c r="A25" s="7" t="s">
        <v>48</v>
      </c>
      <c r="B25" s="9" t="n">
        <v>150000</v>
      </c>
      <c r="C25" s="4" t="s">
        <v>23</v>
      </c>
    </row>
    <row r="26" customFormat="false" ht="15" hidden="false" customHeight="false" outlineLevel="0" collapsed="false">
      <c r="A26" s="7" t="s">
        <v>49</v>
      </c>
      <c r="B26" s="9" t="n">
        <v>100000</v>
      </c>
      <c r="C26" s="4" t="s">
        <v>23</v>
      </c>
    </row>
    <row r="27" customFormat="false" ht="15" hidden="false" customHeight="false" outlineLevel="0" collapsed="false">
      <c r="A27" s="7" t="s">
        <v>50</v>
      </c>
      <c r="B27" s="10" t="n">
        <v>0.12</v>
      </c>
      <c r="C27" s="4" t="s">
        <v>31</v>
      </c>
    </row>
    <row r="28" customFormat="false" ht="15" hidden="false" customHeight="false" outlineLevel="0" collapsed="false">
      <c r="A28" s="7" t="s">
        <v>51</v>
      </c>
      <c r="B28" s="11" t="n">
        <v>3</v>
      </c>
      <c r="C28" s="4" t="s">
        <v>46</v>
      </c>
    </row>
    <row r="29" customFormat="false" ht="15" hidden="false" customHeight="false" outlineLevel="0" collapsed="false">
      <c r="A29" s="5" t="s">
        <v>52</v>
      </c>
      <c r="B29" s="6"/>
      <c r="C29" s="6"/>
    </row>
    <row r="30" customFormat="false" ht="15" hidden="false" customHeight="false" outlineLevel="0" collapsed="false">
      <c r="A30" s="7" t="s">
        <v>53</v>
      </c>
      <c r="B30" s="10" t="n">
        <v>0</v>
      </c>
      <c r="C30" s="4" t="s">
        <v>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4" min="2" style="0" width="16"/>
  </cols>
  <sheetData>
    <row r="1" customFormat="false" ht="16.15" hidden="false" customHeight="false" outlineLevel="0" collapsed="false">
      <c r="A1" s="1" t="s">
        <v>55</v>
      </c>
    </row>
    <row r="2" customFormat="false" ht="15" hidden="false" customHeight="false" outlineLevel="0" collapsed="false">
      <c r="A2" s="4" t="s">
        <v>56</v>
      </c>
    </row>
    <row r="4" customFormat="false" ht="15" hidden="false" customHeight="false" outlineLevel="0" collapsed="false">
      <c r="A4" s="12" t="s">
        <v>57</v>
      </c>
      <c r="B4" s="13" t="s">
        <v>58</v>
      </c>
      <c r="C4" s="13" t="s">
        <v>59</v>
      </c>
      <c r="D4" s="13" t="s">
        <v>60</v>
      </c>
    </row>
    <row r="5" customFormat="false" ht="15" hidden="false" customHeight="false" outlineLevel="0" collapsed="false">
      <c r="A5" s="7" t="s">
        <v>61</v>
      </c>
      <c r="B5" s="14" t="n">
        <f aca="false">Inputs!B7*12</f>
        <v>9600</v>
      </c>
      <c r="C5" s="14" t="n">
        <f aca="false">B5*(1+Inputs!B8)</f>
        <v>10560</v>
      </c>
      <c r="D5" s="14" t="n">
        <f aca="false">C5*(1+Inputs!B9)</f>
        <v>11616</v>
      </c>
    </row>
    <row r="6" customFormat="false" ht="15" hidden="false" customHeight="false" outlineLevel="0" collapsed="false">
      <c r="A6" s="7" t="s">
        <v>62</v>
      </c>
      <c r="B6" s="15" t="n">
        <f aca="false">Inputs!B6</f>
        <v>150</v>
      </c>
      <c r="C6" s="15" t="n">
        <f aca="false">B6*(1+Inputs!B10)</f>
        <v>157.5</v>
      </c>
      <c r="D6" s="15" t="n">
        <f aca="false">C6*(1+Inputs!B10)</f>
        <v>165.375</v>
      </c>
    </row>
    <row r="8" customFormat="false" ht="15" hidden="false" customHeight="false" outlineLevel="0" collapsed="false">
      <c r="A8" s="12" t="s">
        <v>63</v>
      </c>
      <c r="B8" s="13" t="s">
        <v>58</v>
      </c>
      <c r="C8" s="13" t="s">
        <v>59</v>
      </c>
      <c r="D8" s="13" t="s">
        <v>60</v>
      </c>
    </row>
    <row r="9" customFormat="false" ht="15" hidden="false" customHeight="false" outlineLevel="0" collapsed="false">
      <c r="A9" s="7" t="s">
        <v>64</v>
      </c>
      <c r="B9" s="16" t="n">
        <f aca="false">B5*B6</f>
        <v>1440000</v>
      </c>
      <c r="C9" s="16" t="n">
        <f aca="false">C5*C6</f>
        <v>1663200</v>
      </c>
      <c r="D9" s="16" t="n">
        <f aca="false">D5*D6</f>
        <v>1920996</v>
      </c>
    </row>
    <row r="10" customFormat="false" ht="15" hidden="false" customHeight="false" outlineLevel="0" collapsed="false">
      <c r="A10" s="7" t="s">
        <v>65</v>
      </c>
      <c r="B10" s="16" t="n">
        <f aca="false">B5*Inputs!B11</f>
        <v>864000</v>
      </c>
      <c r="C10" s="16" t="n">
        <f aca="false">C5*Inputs!B11</f>
        <v>950400</v>
      </c>
      <c r="D10" s="16" t="n">
        <f aca="false">D5*Inputs!B11</f>
        <v>1045440</v>
      </c>
    </row>
    <row r="11" customFormat="false" ht="15" hidden="false" customHeight="false" outlineLevel="0" collapsed="false">
      <c r="A11" s="17" t="s">
        <v>66</v>
      </c>
      <c r="B11" s="18" t="n">
        <f aca="false">B9-B10</f>
        <v>576000</v>
      </c>
      <c r="C11" s="18" t="n">
        <f aca="false">C9-C10</f>
        <v>712800</v>
      </c>
      <c r="D11" s="18" t="n">
        <f aca="false">D9-D10</f>
        <v>875556</v>
      </c>
    </row>
    <row r="12" customFormat="false" ht="15" hidden="false" customHeight="false" outlineLevel="0" collapsed="false">
      <c r="A12" s="7" t="s">
        <v>67</v>
      </c>
      <c r="B12" s="16" t="n">
        <f aca="false">SUM(Inputs!B13:B18)*12</f>
        <v>360000</v>
      </c>
      <c r="C12" s="16" t="n">
        <f aca="false">SUM(Inputs!B13:B18)*12</f>
        <v>360000</v>
      </c>
      <c r="D12" s="16" t="n">
        <f aca="false">SUM(Inputs!B13:B18)*12</f>
        <v>360000</v>
      </c>
    </row>
    <row r="13" customFormat="false" ht="15" hidden="false" customHeight="false" outlineLevel="0" collapsed="false">
      <c r="A13" s="7" t="s">
        <v>68</v>
      </c>
      <c r="B13" s="16" t="n">
        <f aca="false">IFERROR(Inputs!B20/Inputs!B23,0)</f>
        <v>24000</v>
      </c>
      <c r="C13" s="16" t="n">
        <f aca="false">IFERROR(Inputs!B20/Inputs!B23,0)</f>
        <v>24000</v>
      </c>
      <c r="D13" s="16" t="n">
        <f aca="false">IFERROR(Inputs!B20/Inputs!B23,0)</f>
        <v>24000</v>
      </c>
    </row>
    <row r="14" customFormat="false" ht="15" hidden="false" customHeight="false" outlineLevel="0" collapsed="false">
      <c r="A14" s="17" t="s">
        <v>69</v>
      </c>
      <c r="B14" s="18" t="n">
        <f aca="false">B11-B12-B13</f>
        <v>192000</v>
      </c>
      <c r="C14" s="18" t="n">
        <f aca="false">C11-C12-C13</f>
        <v>328800</v>
      </c>
      <c r="D14" s="18" t="n">
        <f aca="false">D11-D12-D13</f>
        <v>491556</v>
      </c>
    </row>
    <row r="15" customFormat="false" ht="15" hidden="false" customHeight="false" outlineLevel="0" collapsed="false">
      <c r="A15" s="7" t="s">
        <v>70</v>
      </c>
      <c r="B15" s="16" t="n">
        <f aca="false">B21*Inputs!B27</f>
        <v>12000</v>
      </c>
      <c r="C15" s="16" t="n">
        <f aca="false">C21*Inputs!B27</f>
        <v>8000</v>
      </c>
      <c r="D15" s="16" t="n">
        <f aca="false">D21*Inputs!B27</f>
        <v>4000</v>
      </c>
    </row>
    <row r="16" customFormat="false" ht="15" hidden="false" customHeight="false" outlineLevel="0" collapsed="false">
      <c r="A16" s="17" t="s">
        <v>71</v>
      </c>
      <c r="B16" s="18" t="n">
        <f aca="false">B14-B15</f>
        <v>180000</v>
      </c>
      <c r="C16" s="18" t="n">
        <f aca="false">C14-C15</f>
        <v>320800</v>
      </c>
      <c r="D16" s="18" t="n">
        <f aca="false">D14-D15</f>
        <v>487556</v>
      </c>
    </row>
    <row r="17" customFormat="false" ht="15" hidden="false" customHeight="false" outlineLevel="0" collapsed="false">
      <c r="A17" s="7" t="s">
        <v>52</v>
      </c>
      <c r="B17" s="16" t="n">
        <f aca="false">MAX(0,B16*Inputs!B30)</f>
        <v>0</v>
      </c>
      <c r="C17" s="16" t="n">
        <f aca="false">MAX(0,C16*Inputs!B30)</f>
        <v>0</v>
      </c>
      <c r="D17" s="16" t="n">
        <f aca="false">MAX(0,D16*Inputs!B30)</f>
        <v>0</v>
      </c>
    </row>
    <row r="18" customFormat="false" ht="15" hidden="false" customHeight="false" outlineLevel="0" collapsed="false">
      <c r="A18" s="17" t="s">
        <v>72</v>
      </c>
      <c r="B18" s="18" t="n">
        <f aca="false">B16-B17</f>
        <v>180000</v>
      </c>
      <c r="C18" s="18" t="n">
        <f aca="false">C16-C17</f>
        <v>320800</v>
      </c>
      <c r="D18" s="18" t="n">
        <f aca="false">D16-D17</f>
        <v>487556</v>
      </c>
    </row>
    <row r="20" customFormat="false" ht="15" hidden="false" customHeight="false" outlineLevel="0" collapsed="false">
      <c r="A20" s="12" t="s">
        <v>73</v>
      </c>
      <c r="B20" s="13" t="s">
        <v>58</v>
      </c>
      <c r="C20" s="13" t="s">
        <v>59</v>
      </c>
      <c r="D20" s="13" t="s">
        <v>60</v>
      </c>
    </row>
    <row r="21" customFormat="false" ht="15" hidden="false" customHeight="false" outlineLevel="0" collapsed="false">
      <c r="A21" s="7" t="s">
        <v>74</v>
      </c>
      <c r="B21" s="16" t="n">
        <f aca="false">Inputs!B26</f>
        <v>100000</v>
      </c>
      <c r="C21" s="16" t="n">
        <f aca="false">B23</f>
        <v>66666.6666666667</v>
      </c>
      <c r="D21" s="16" t="n">
        <f aca="false">C23</f>
        <v>33333.3333333333</v>
      </c>
    </row>
    <row r="22" customFormat="false" ht="15" hidden="false" customHeight="false" outlineLevel="0" collapsed="false">
      <c r="A22" s="7" t="s">
        <v>75</v>
      </c>
      <c r="B22" s="16" t="n">
        <f aca="false">IF(1&lt;=Inputs!B28,MIN(B21,Inputs!B26/Inputs!B28),0)</f>
        <v>33333.3333333333</v>
      </c>
      <c r="C22" s="16" t="n">
        <f aca="false">IF(2&lt;=Inputs!B28,MIN(C21,Inputs!B26/Inputs!B28),0)</f>
        <v>33333.3333333333</v>
      </c>
      <c r="D22" s="16" t="n">
        <f aca="false">IF(3&lt;=Inputs!B28,MIN(D21,Inputs!B26/Inputs!B28),0)</f>
        <v>33333.3333333333</v>
      </c>
    </row>
    <row r="23" customFormat="false" ht="15" hidden="false" customHeight="false" outlineLevel="0" collapsed="false">
      <c r="A23" s="7" t="s">
        <v>76</v>
      </c>
      <c r="B23" s="16" t="n">
        <f aca="false">B21-B22</f>
        <v>66666.6666666667</v>
      </c>
      <c r="C23" s="16" t="n">
        <f aca="false">C21-C22</f>
        <v>33333.3333333333</v>
      </c>
      <c r="D23" s="16" t="n">
        <f aca="false">D21-D22</f>
        <v>0</v>
      </c>
    </row>
    <row r="25" customFormat="false" ht="15" hidden="false" customHeight="false" outlineLevel="0" collapsed="false">
      <c r="A25" s="12" t="s">
        <v>77</v>
      </c>
      <c r="B25" s="13" t="s">
        <v>58</v>
      </c>
      <c r="C25" s="13" t="s">
        <v>59</v>
      </c>
      <c r="D25" s="13" t="s">
        <v>60</v>
      </c>
    </row>
    <row r="26" customFormat="false" ht="15" hidden="false" customHeight="false" outlineLevel="0" collapsed="false">
      <c r="A26" s="7" t="s">
        <v>78</v>
      </c>
      <c r="B26" s="16" t="n">
        <f aca="false">Inputs!B25+Inputs!B26-Inputs!B20-Inputs!B21-Inputs!B22</f>
        <v>60000</v>
      </c>
      <c r="C26" s="16" t="n">
        <f aca="false">B30</f>
        <v>230666.666666667</v>
      </c>
      <c r="D26" s="16" t="n">
        <f aca="false">C30</f>
        <v>542133.333333333</v>
      </c>
    </row>
    <row r="27" customFormat="false" ht="15" hidden="false" customHeight="false" outlineLevel="0" collapsed="false">
      <c r="A27" s="4" t="s">
        <v>79</v>
      </c>
      <c r="B27" s="19" t="n">
        <f aca="false">B21</f>
        <v>100000</v>
      </c>
      <c r="C27" s="19" t="n">
        <f aca="false">C21</f>
        <v>66666.6666666667</v>
      </c>
      <c r="D27" s="19" t="n">
        <f aca="false">D21</f>
        <v>33333.3333333333</v>
      </c>
    </row>
    <row r="28" customFormat="false" ht="15" hidden="false" customHeight="false" outlineLevel="0" collapsed="false">
      <c r="A28" s="7" t="s">
        <v>80</v>
      </c>
      <c r="B28" s="16" t="n">
        <f aca="false">B18+B13</f>
        <v>204000</v>
      </c>
      <c r="C28" s="16" t="n">
        <f aca="false">C18+C13</f>
        <v>344800</v>
      </c>
      <c r="D28" s="16" t="n">
        <f aca="false">D18+D13</f>
        <v>511556</v>
      </c>
    </row>
    <row r="29" customFormat="false" ht="15" hidden="false" customHeight="false" outlineLevel="0" collapsed="false">
      <c r="A29" s="7" t="s">
        <v>81</v>
      </c>
      <c r="B29" s="16" t="n">
        <f aca="false">-B22</f>
        <v>-33333.3333333333</v>
      </c>
      <c r="C29" s="16" t="n">
        <f aca="false">-C22</f>
        <v>-33333.3333333333</v>
      </c>
      <c r="D29" s="16" t="n">
        <f aca="false">-D22</f>
        <v>-33333.3333333333</v>
      </c>
    </row>
    <row r="30" customFormat="false" ht="15" hidden="false" customHeight="false" outlineLevel="0" collapsed="false">
      <c r="A30" s="17" t="s">
        <v>82</v>
      </c>
      <c r="B30" s="18" t="n">
        <f aca="false">B26+B28+B29</f>
        <v>230666.666666667</v>
      </c>
      <c r="C30" s="18" t="n">
        <f aca="false">C26+C28+C29</f>
        <v>542133.333333333</v>
      </c>
      <c r="D30" s="18" t="n">
        <f aca="false">D26+D28+D29</f>
        <v>1020356</v>
      </c>
    </row>
    <row r="32" customFormat="false" ht="15" hidden="false" customHeight="false" outlineLevel="0" collapsed="false">
      <c r="A32" s="12" t="s">
        <v>83</v>
      </c>
      <c r="B32" s="13" t="s">
        <v>58</v>
      </c>
      <c r="C32" s="13" t="s">
        <v>59</v>
      </c>
      <c r="D32" s="13" t="s">
        <v>60</v>
      </c>
    </row>
    <row r="33" customFormat="false" ht="15" hidden="false" customHeight="false" outlineLevel="0" collapsed="false">
      <c r="A33" s="7" t="s">
        <v>84</v>
      </c>
      <c r="B33" s="16" t="n">
        <f aca="false">B30</f>
        <v>230666.666666667</v>
      </c>
      <c r="C33" s="16" t="n">
        <f aca="false">C30</f>
        <v>542133.333333333</v>
      </c>
      <c r="D33" s="16" t="n">
        <f aca="false">D30</f>
        <v>1020356</v>
      </c>
    </row>
    <row r="34" customFormat="false" ht="15" hidden="false" customHeight="false" outlineLevel="0" collapsed="false">
      <c r="A34" s="7" t="s">
        <v>85</v>
      </c>
      <c r="B34" s="16" t="n">
        <f aca="false">Inputs!B20-B13</f>
        <v>96000</v>
      </c>
      <c r="C34" s="16" t="n">
        <f aca="false">B34-C13</f>
        <v>72000</v>
      </c>
      <c r="D34" s="16" t="n">
        <f aca="false">C34-D13</f>
        <v>48000</v>
      </c>
    </row>
    <row r="35" customFormat="false" ht="15" hidden="false" customHeight="false" outlineLevel="0" collapsed="false">
      <c r="A35" s="7" t="s">
        <v>86</v>
      </c>
      <c r="B35" s="16" t="n">
        <f aca="false">Inputs!B21+Inputs!B22</f>
        <v>70000</v>
      </c>
      <c r="C35" s="16" t="n">
        <f aca="false">Inputs!B21+Inputs!B22</f>
        <v>70000</v>
      </c>
      <c r="D35" s="16" t="n">
        <f aca="false">Inputs!B21+Inputs!B22</f>
        <v>70000</v>
      </c>
    </row>
    <row r="36" customFormat="false" ht="15" hidden="false" customHeight="false" outlineLevel="0" collapsed="false">
      <c r="A36" s="17" t="s">
        <v>87</v>
      </c>
      <c r="B36" s="18" t="n">
        <f aca="false">SUM(B33:B35)</f>
        <v>396666.666666667</v>
      </c>
      <c r="C36" s="18" t="n">
        <f aca="false">SUM(C33:C35)</f>
        <v>684133.333333333</v>
      </c>
      <c r="D36" s="18" t="n">
        <f aca="false">SUM(D33:D35)</f>
        <v>1138356</v>
      </c>
    </row>
    <row r="37" customFormat="false" ht="15" hidden="false" customHeight="false" outlineLevel="0" collapsed="false">
      <c r="A37" s="7" t="s">
        <v>88</v>
      </c>
      <c r="B37" s="16" t="n">
        <f aca="false">B23</f>
        <v>66666.6666666667</v>
      </c>
      <c r="C37" s="16" t="n">
        <f aca="false">C23</f>
        <v>33333.3333333333</v>
      </c>
      <c r="D37" s="16" t="n">
        <f aca="false">D23</f>
        <v>0</v>
      </c>
    </row>
    <row r="38" customFormat="false" ht="15" hidden="false" customHeight="false" outlineLevel="0" collapsed="false">
      <c r="A38" s="7" t="s">
        <v>89</v>
      </c>
      <c r="B38" s="16" t="n">
        <f aca="false">Inputs!B25+B18</f>
        <v>330000</v>
      </c>
      <c r="C38" s="16" t="n">
        <f aca="false">B38+C18</f>
        <v>650800</v>
      </c>
      <c r="D38" s="16" t="n">
        <f aca="false">C38+D18</f>
        <v>1138356</v>
      </c>
    </row>
    <row r="39" customFormat="false" ht="15" hidden="false" customHeight="false" outlineLevel="0" collapsed="false">
      <c r="A39" s="17" t="s">
        <v>90</v>
      </c>
      <c r="B39" s="18" t="n">
        <f aca="false">B37+B38</f>
        <v>396666.666666667</v>
      </c>
      <c r="C39" s="18" t="n">
        <f aca="false">C37+C38</f>
        <v>684133.333333333</v>
      </c>
      <c r="D39" s="18" t="n">
        <f aca="false">D37+D38</f>
        <v>1138356</v>
      </c>
    </row>
    <row r="40" customFormat="false" ht="15" hidden="false" customHeight="false" outlineLevel="0" collapsed="false">
      <c r="A40" s="7" t="s">
        <v>91</v>
      </c>
      <c r="B40" s="20" t="n">
        <f aca="false">ROUND(B36-B39,2)</f>
        <v>0</v>
      </c>
      <c r="C40" s="20" t="n">
        <f aca="false">ROUND(C36-C39,2)</f>
        <v>0</v>
      </c>
      <c r="D40" s="20" t="n">
        <f aca="false">ROUND(D36-D39,2)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8"/>
  </cols>
  <sheetData>
    <row r="1" customFormat="false" ht="16.15" hidden="false" customHeight="false" outlineLevel="0" collapsed="false">
      <c r="A1" s="1" t="s">
        <v>92</v>
      </c>
    </row>
    <row r="3" customFormat="false" ht="15" hidden="false" customHeight="false" outlineLevel="0" collapsed="false">
      <c r="A3" s="7" t="s">
        <v>93</v>
      </c>
      <c r="B3" s="15" t="n">
        <f aca="false">Statements!B6</f>
        <v>150</v>
      </c>
    </row>
    <row r="4" customFormat="false" ht="15" hidden="false" customHeight="false" outlineLevel="0" collapsed="false">
      <c r="A4" s="7" t="s">
        <v>94</v>
      </c>
      <c r="B4" s="15" t="n">
        <f aca="false">Inputs!B11</f>
        <v>90</v>
      </c>
    </row>
    <row r="5" customFormat="false" ht="15" hidden="false" customHeight="false" outlineLevel="0" collapsed="false">
      <c r="A5" s="7" t="s">
        <v>95</v>
      </c>
      <c r="B5" s="15" t="n">
        <f aca="false">B3-B4</f>
        <v>60</v>
      </c>
    </row>
    <row r="6" customFormat="false" ht="15" hidden="false" customHeight="false" outlineLevel="0" collapsed="false">
      <c r="A6" s="7" t="s">
        <v>96</v>
      </c>
      <c r="B6" s="16" t="n">
        <f aca="false">Statements!B12+Statements!B13+Statements!B15</f>
        <v>396000</v>
      </c>
    </row>
    <row r="7" customFormat="false" ht="15" hidden="false" customHeight="false" outlineLevel="0" collapsed="false">
      <c r="A7" s="7" t="s">
        <v>97</v>
      </c>
      <c r="B7" s="14" t="n">
        <f aca="false">IFERROR(B6/B5,"")</f>
        <v>6600</v>
      </c>
    </row>
    <row r="8" customFormat="false" ht="15" hidden="false" customHeight="false" outlineLevel="0" collapsed="false">
      <c r="A8" s="7" t="s">
        <v>98</v>
      </c>
      <c r="B8" s="14" t="n">
        <f aca="false">IFERROR(B7/12,"")</f>
        <v>550</v>
      </c>
    </row>
    <row r="9" customFormat="false" ht="15" hidden="false" customHeight="false" outlineLevel="0" collapsed="false">
      <c r="A9" s="7" t="s">
        <v>99</v>
      </c>
      <c r="B9" s="16" t="n">
        <f aca="false">IFERROR(B7*B3,"")</f>
        <v>990000</v>
      </c>
    </row>
    <row r="10" customFormat="false" ht="15" hidden="false" customHeight="false" outlineLevel="0" collapsed="false">
      <c r="A10" s="7" t="s">
        <v>100</v>
      </c>
      <c r="B10" s="14" t="n">
        <f aca="false">Statements!B5</f>
        <v>9600</v>
      </c>
    </row>
    <row r="11" customFormat="false" ht="15" hidden="false" customHeight="false" outlineLevel="0" collapsed="false">
      <c r="A11" s="7" t="s">
        <v>101</v>
      </c>
      <c r="B11" s="14" t="n">
        <f aca="false">IFERROR(B10-B7,"")</f>
        <v>3000</v>
      </c>
    </row>
    <row r="12" customFormat="false" ht="15" hidden="false" customHeight="false" outlineLevel="0" collapsed="false">
      <c r="A12" s="7" t="s">
        <v>102</v>
      </c>
      <c r="B12" s="21" t="n">
        <f aca="false">IFERROR(B11/B10,"")</f>
        <v>0.3125</v>
      </c>
    </row>
    <row r="14" customFormat="false" ht="15" hidden="false" customHeight="false" outlineLevel="0" collapsed="false">
      <c r="A14" s="4" t="s">
        <v>103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2026-10-25T14:02:08Z</dcterms:created>
  <dc:creator>openpyxl</dc:creator>
  <dc:description/>
  <dc:language>en-US</dc:language>
  <cp:lastModifiedBy/>
  <dcterms:modified xsi:type="dcterms:W3CDTF">2026-10-25T14:02:08Z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